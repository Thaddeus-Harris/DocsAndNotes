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cademic Planning Guide" sheetId="1" state="visible" r:id="rId3"/>
    <sheet name="MATH (BS) Phys Minor Template 2" sheetId="2" state="visible" r:id="rId4"/>
    <sheet name="MATH (BS) Template NO COO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<sst xmlns="http://schemas.openxmlformats.org/spreadsheetml/2006/main" count="342" uniqueCount="159">
  <si>
    <t xml:space="preserve">Mathematics Academic Planning Guide</t>
  </si>
  <si>
    <t xml:space="preserve">General Information</t>
  </si>
  <si>
    <t xml:space="preserve">Course substitution</t>
  </si>
  <si>
    <t xml:space="preserve">Course substitution are exceptional and must be approved by a faculty advisor.</t>
  </si>
  <si>
    <t xml:space="preserve">Reduced courseload</t>
  </si>
  <si>
    <r>
      <rPr>
        <sz val="11"/>
        <color rgb="FF000000"/>
        <rFont val="Century Gothic"/>
        <family val="2"/>
        <charset val="1"/>
      </rPr>
      <t xml:space="preserve">Students who need fewer than 12SH to meet all program requirements in their </t>
    </r>
    <r>
      <rPr>
        <b val="true"/>
        <sz val="11"/>
        <color rgb="FF000000"/>
        <rFont val="Century Gothic"/>
        <family val="2"/>
        <charset val="1"/>
      </rPr>
      <t xml:space="preserve">final</t>
    </r>
    <r>
      <rPr>
        <sz val="11"/>
        <color rgb="FF000000"/>
        <rFont val="Century Gothic"/>
        <family val="2"/>
        <charset val="1"/>
      </rPr>
      <t xml:space="preserve"> semester qualify for a reduced courseload and will be charged by the tuition.
Students taking only once class in any summer term  qualify for a reduced coursload. 
Students must apply for a reduced courseload via they portal before tuition can adjusted. </t>
    </r>
  </si>
  <si>
    <t xml:space="preserve">Co-op</t>
  </si>
  <si>
    <t xml:space="preserve">Students will be assigned a pattern of attendance (POA). Students are required to remain on the assigned POA and must complete EESC2000 in the semester immediately preceding their first co-op. Failure to do so may delay co-op and limit the number of co-ops that can be completed. Back-to-back co-ops or graduating while on co-op is not permitted. Co-op is not required.</t>
  </si>
  <si>
    <t xml:space="preserve">Residency requirement</t>
  </si>
  <si>
    <t xml:space="preserve">Students must complete a minimum of 64SH at Northeastern to receieve their bachelor degree.</t>
  </si>
  <si>
    <t xml:space="preserve">Major Specific Information</t>
  </si>
  <si>
    <t xml:space="preserve">Grade Requirement</t>
  </si>
  <si>
    <t xml:space="preserve">A grade of C or higher is required in all MATH courses level 3000 and below</t>
  </si>
  <si>
    <t xml:space="preserve">Intro to Co-op - EESC2000</t>
  </si>
  <si>
    <t xml:space="preserve">EESC2000 courses are restricted by major. Pick a section of the course that is open to your major as indicated under "Restrictions" in the class catalog.</t>
  </si>
  <si>
    <t xml:space="preserve">MATH 3000</t>
  </si>
  <si>
    <t xml:space="preserve">Math 3000 is a coop reflection course and is required for mathematics majors who complete a coop experience. If you do not complete a coop experience, this requirement can be waived by the faculty advisor. Note- MATH 4000 no longer exists.</t>
  </si>
  <si>
    <t xml:space="preserve">Mathematics Electives</t>
  </si>
  <si>
    <t xml:space="preserve">Only one directed study course can count towards this requirement</t>
  </si>
  <si>
    <t xml:space="preserve">Physics</t>
  </si>
  <si>
    <t xml:space="preserve">Students can take Physics: PHYS 1161 &amp; PHYS 1162, PHYS 1165 &amp; 1166 OR Physics for Engineering: PHYS 1151 &amp; PHYS 1152 &amp; PHYS 1153, PHYS 1155 &amp; PHYS 1156 &amp; PHYS 1157</t>
  </si>
  <si>
    <t xml:space="preserve">Capstone</t>
  </si>
  <si>
    <t xml:space="preserve"> You must have Junior status (64SH) to take this course</t>
  </si>
  <si>
    <t xml:space="preserve">Upper Division Elective</t>
  </si>
  <si>
    <t xml:space="preserve">Complete (3) general electives at 3000 level or above from any discipline.  
Note: Courses counting toward the Upper Division electives can not be used to count toward major requirements, but can be used for NU Path requirements.</t>
  </si>
  <si>
    <t xml:space="preserve">Integration Experience</t>
  </si>
  <si>
    <t xml:space="preserve">Can be met with:
Coop
Directed Study 
NU Path EX Course</t>
  </si>
  <si>
    <t xml:space="preserve">Advanced Writing in the Disciplines</t>
  </si>
  <si>
    <t xml:space="preserve">Requires Junior status (64SH). Students can take ENGW 3307 or ENGW 3315.</t>
  </si>
  <si>
    <t xml:space="preserve">NUPath not met by Major</t>
  </si>
  <si>
    <t xml:space="preserve">These are not automatically covered by your major requirements and will classes taken outside of your major.</t>
  </si>
  <si>
    <t xml:space="preserve">General electives</t>
  </si>
  <si>
    <t xml:space="preserve">General electives are courses you need to meet the minimum 128SH required for your major. They can be any classes you meet the min requirements for including additional courses related to your major. General electives can be used towards a minor or PlusOne courses as well</t>
  </si>
  <si>
    <t xml:space="preserve">PlusOne</t>
  </si>
  <si>
    <t xml:space="preserve">A PlusOne program allows you to double count up to 16SH towards both a B.S and M.S degree and offers the opportunity to earn both degrees in 5 years. 
As a Mathematics student you qualify for:
Applied Mathematics PlusOne
Talk to your academic advisor if interested in this opportunity</t>
  </si>
  <si>
    <t xml:space="preserve">NUPath Key</t>
  </si>
  <si>
    <t xml:space="preserve">Natural and Design World (ND)</t>
  </si>
  <si>
    <t xml:space="preserve">Creative Expression and Innovation (EI)</t>
  </si>
  <si>
    <t xml:space="preserve">Interpreting Culture (IC)</t>
  </si>
  <si>
    <t xml:space="preserve">Formal and Quantitative Reasoning (FQ)</t>
  </si>
  <si>
    <t xml:space="preserve">Societies and Institutions (SI)</t>
  </si>
  <si>
    <t xml:space="preserve">Analyzing Data (AD)</t>
  </si>
  <si>
    <t xml:space="preserve">Difference and Diversity (DD)</t>
  </si>
  <si>
    <t xml:space="preserve">Ethical Reasoning (ER)</t>
  </si>
  <si>
    <t xml:space="preserve">1st Year Writing (FY)</t>
  </si>
  <si>
    <t xml:space="preserve">Writing Intensive (WI)</t>
  </si>
  <si>
    <t xml:space="preserve"> Advanced Writing in the Disciplines  (WD)</t>
  </si>
  <si>
    <t xml:space="preserve">Capstone Experience (CE)</t>
  </si>
  <si>
    <t xml:space="preserve">Integrated Experience (EX)</t>
  </si>
  <si>
    <t xml:space="preserve">Proposed Academic Plan Mathematics - 128SH min</t>
  </si>
  <si>
    <t xml:space="preserve">Color Key</t>
  </si>
  <si>
    <t xml:space="preserve">Completed</t>
  </si>
  <si>
    <t xml:space="preserve">Name</t>
  </si>
  <si>
    <t xml:space="preserve">NUID</t>
  </si>
  <si>
    <t xml:space="preserve">In Progress</t>
  </si>
  <si>
    <t xml:space="preserve">Earned SH</t>
  </si>
  <si>
    <t xml:space="preserve">Planned SH</t>
  </si>
  <si>
    <t xml:space="preserve">Remaining SH</t>
  </si>
  <si>
    <t xml:space="preserve">Planned for</t>
  </si>
  <si>
    <t xml:space="preserve">Cannot be moved</t>
  </si>
  <si>
    <t xml:space="preserve">Fall</t>
  </si>
  <si>
    <t xml:space="preserve">Spring</t>
  </si>
  <si>
    <t xml:space="preserve">Summer 1</t>
  </si>
  <si>
    <t xml:space="preserve">Summer 2</t>
  </si>
  <si>
    <t xml:space="preserve">2023-2024</t>
  </si>
  <si>
    <t xml:space="preserve">Major Requirements:</t>
  </si>
  <si>
    <t xml:space="preserve">SH</t>
  </si>
  <si>
    <t xml:space="preserve">Course name</t>
  </si>
  <si>
    <t xml:space="preserve">NUPath met</t>
  </si>
  <si>
    <t xml:space="preserve">INSC 1000</t>
  </si>
  <si>
    <t xml:space="preserve">Science at Northeastern</t>
  </si>
  <si>
    <t xml:space="preserve">EESC 2000</t>
  </si>
  <si>
    <t xml:space="preserve">Professional Development for Co-op</t>
  </si>
  <si>
    <t xml:space="preserve">MATH 1365</t>
  </si>
  <si>
    <t xml:space="preserve">Introduction to Mathematical Reasoning</t>
  </si>
  <si>
    <t xml:space="preserve">MATH 1341</t>
  </si>
  <si>
    <t xml:space="preserve">Calculus 1 for Science &amp; Engineering</t>
  </si>
  <si>
    <t xml:space="preserve">FQ</t>
  </si>
  <si>
    <t xml:space="preserve">MATH 1342</t>
  </si>
  <si>
    <t xml:space="preserve">Calculus 2 for Science &amp; Engineering</t>
  </si>
  <si>
    <t xml:space="preserve">Total</t>
  </si>
  <si>
    <t xml:space="preserve">MATH 2321</t>
  </si>
  <si>
    <t xml:space="preserve">Calculus 3 for Science &amp; Engineering</t>
  </si>
  <si>
    <t xml:space="preserve">2024-2025</t>
  </si>
  <si>
    <t xml:space="preserve">COOP</t>
  </si>
  <si>
    <t xml:space="preserve">MATH2331</t>
  </si>
  <si>
    <t xml:space="preserve">MATH 2331</t>
  </si>
  <si>
    <t xml:space="preserve">Linear Algebra</t>
  </si>
  <si>
    <t xml:space="preserve">U.D.E. #1 OF 3 (CIVE3464)</t>
  </si>
  <si>
    <t xml:space="preserve">MATH 2341</t>
  </si>
  <si>
    <t xml:space="preserve">Differential Equations and Linear Algebra</t>
  </si>
  <si>
    <t xml:space="preserve">MATH 3081</t>
  </si>
  <si>
    <t xml:space="preserve">Probability &amp; Statistics</t>
  </si>
  <si>
    <t xml:space="preserve">AD</t>
  </si>
  <si>
    <t xml:space="preserve">MATH 3150</t>
  </si>
  <si>
    <t xml:space="preserve">Real Analysis</t>
  </si>
  <si>
    <t xml:space="preserve">WI</t>
  </si>
  <si>
    <t xml:space="preserve">MATH 3175</t>
  </si>
  <si>
    <t xml:space="preserve">Group Theory</t>
  </si>
  <si>
    <t xml:space="preserve">Coop Reflection</t>
  </si>
  <si>
    <t xml:space="preserve">MATH ELECTIVE (3000+)</t>
  </si>
  <si>
    <t xml:space="preserve">Complete a MATH course above MATH 3000</t>
  </si>
  <si>
    <t xml:space="preserve">2025-2026</t>
  </si>
  <si>
    <t xml:space="preserve">PHYS115/56/57</t>
  </si>
  <si>
    <t xml:space="preserve">MATH3275</t>
  </si>
  <si>
    <t xml:space="preserve">MATH 5510 #4 of 4</t>
  </si>
  <si>
    <t xml:space="preserve">MATH1365</t>
  </si>
  <si>
    <t xml:space="preserve">MATH ELECTIVE #2 OF 4</t>
  </si>
  <si>
    <t xml:space="preserve">ENGW3306</t>
  </si>
  <si>
    <t xml:space="preserve">MATH3081</t>
  </si>
  <si>
    <t xml:space="preserve">MATH3150</t>
  </si>
  <si>
    <t xml:space="preserve">MATH ELECTIVE #1 OF 4</t>
  </si>
  <si>
    <t xml:space="preserve">MATH ELECTIVE #3 OF 4</t>
  </si>
  <si>
    <t xml:space="preserve">REQUIRED PHYSICS 1</t>
  </si>
  <si>
    <t xml:space="preserve">Choose a lecture &amp; lab from selections on degree audit</t>
  </si>
  <si>
    <t xml:space="preserve">ND, AD</t>
  </si>
  <si>
    <t xml:space="preserve">REQUIRED PHYSICS 2</t>
  </si>
  <si>
    <t xml:space="preserve">CAPSTONE</t>
  </si>
  <si>
    <t xml:space="preserve">Choose from selections on degree audit</t>
  </si>
  <si>
    <t xml:space="preserve">WI, CE</t>
  </si>
  <si>
    <t xml:space="preserve">2026-2027</t>
  </si>
  <si>
    <t xml:space="preserve">MATH CAPSTONE</t>
  </si>
  <si>
    <t xml:space="preserve">UPPER DIVISION ELECTIVE</t>
  </si>
  <si>
    <t xml:space="preserve">Complete general elective at 3000 level or above</t>
  </si>
  <si>
    <t xml:space="preserve">ART2360</t>
  </si>
  <si>
    <t xml:space="preserve">MATH 4565 (or other topology</t>
  </si>
  <si>
    <t xml:space="preserve">Analysis 2</t>
  </si>
  <si>
    <t xml:space="preserve">Algebra 2</t>
  </si>
  <si>
    <t xml:space="preserve">MATH3000</t>
  </si>
  <si>
    <t xml:space="preserve">NUPath not met by Major:</t>
  </si>
  <si>
    <t xml:space="preserve">GRADUATE APRIL 2027</t>
  </si>
  <si>
    <t xml:space="preserve">Creative Expression - EI</t>
  </si>
  <si>
    <t xml:space="preserve">Choose from NUpath list</t>
  </si>
  <si>
    <t xml:space="preserve">EI</t>
  </si>
  <si>
    <t xml:space="preserve">Interpreting Culture - IC</t>
  </si>
  <si>
    <t xml:space="preserve">IC</t>
  </si>
  <si>
    <t xml:space="preserve">2027-2028</t>
  </si>
  <si>
    <t xml:space="preserve">Societies &amp; Institutions -SI</t>
  </si>
  <si>
    <t xml:space="preserve">SI</t>
  </si>
  <si>
    <t xml:space="preserve">Difference &amp; Diversity - DD</t>
  </si>
  <si>
    <t xml:space="preserve">DD</t>
  </si>
  <si>
    <t xml:space="preserve">Ethical Reasoning - ER</t>
  </si>
  <si>
    <t xml:space="preserve">ER</t>
  </si>
  <si>
    <t xml:space="preserve">ENGW 1111 - WF</t>
  </si>
  <si>
    <t xml:space="preserve">First Year Writing</t>
  </si>
  <si>
    <t xml:space="preserve">WF</t>
  </si>
  <si>
    <t xml:space="preserve">ENGW 3307 (recommended) or 3315</t>
  </si>
  <si>
    <t xml:space="preserve">WD</t>
  </si>
  <si>
    <t xml:space="preserve">Integration Experience - EX</t>
  </si>
  <si>
    <t xml:space="preserve">Typically Coop</t>
  </si>
  <si>
    <t xml:space="preserve">EX</t>
  </si>
  <si>
    <t xml:space="preserve">***This is a sample graduation plan and may vary according to course availability. </t>
  </si>
  <si>
    <t xml:space="preserve">General Electives - if needed</t>
  </si>
  <si>
    <t xml:space="preserve">Meeting Notes: </t>
  </si>
  <si>
    <t xml:space="preserve">PHYS 2303</t>
  </si>
  <si>
    <t xml:space="preserve">ENGW3315</t>
  </si>
  <si>
    <t xml:space="preserve">PHYS3601 (#2 OF 3)</t>
  </si>
  <si>
    <t xml:space="preserve">Transportation Analysis (#3 OF 3)</t>
  </si>
  <si>
    <t xml:space="preserve">PHYS2372</t>
  </si>
</sst>
</file>

<file path=xl/styles.xml><?xml version="1.0" encoding="utf-8"?>
<styleSheet xmlns="http://schemas.openxmlformats.org/spreadsheetml/2006/main">
  <numFmts count="2">
    <numFmt numFmtId="164" formatCode="General"/>
    <numFmt numFmtId="165" formatCode="000000000"/>
  </numFmts>
  <fonts count="17">
    <font>
      <sz val="11"/>
      <color theme="1"/>
      <name val="Century Gothic"/>
      <family val="2"/>
      <charset val="1"/>
    </font>
    <font>
      <sz val="10"/>
      <name val="Arial"/>
      <family val="0"/>
    </font>
    <font>
      <sz val="10"/>
      <name val="Arial"/>
      <family val="0"/>
    </font>
    <font>
      <sz val="10"/>
      <name val="Arial"/>
      <family val="0"/>
    </font>
    <font>
      <b val="true"/>
      <sz val="16"/>
      <color theme="1"/>
      <name val="Century Gothic"/>
      <family val="2"/>
      <charset val="1"/>
    </font>
    <font>
      <b val="true"/>
      <sz val="11"/>
      <color theme="1"/>
      <name val="Century Gothic"/>
      <family val="2"/>
      <charset val="1"/>
    </font>
    <font>
      <sz val="11"/>
      <color rgb="FF000000"/>
      <name val="Century Gothic"/>
      <family val="2"/>
      <charset val="1"/>
    </font>
    <font>
      <b val="true"/>
      <sz val="11"/>
      <color rgb="FF000000"/>
      <name val="Century Gothic"/>
      <family val="2"/>
      <charset val="1"/>
    </font>
    <font>
      <b val="true"/>
      <sz val="14"/>
      <color theme="1"/>
      <name val="Century Gothic"/>
      <family val="2"/>
      <charset val="1"/>
    </font>
    <font>
      <sz val="14"/>
      <color theme="1"/>
      <name val="Century Gothic"/>
      <family val="2"/>
      <charset val="1"/>
    </font>
    <font>
      <b val="true"/>
      <sz val="12"/>
      <color theme="1"/>
      <name val="Century Gothic"/>
      <family val="2"/>
      <charset val="1"/>
    </font>
    <font>
      <b val="true"/>
      <sz val="12"/>
      <color theme="1"/>
      <name val="Calibri"/>
      <family val="2"/>
      <charset val="1"/>
    </font>
    <font>
      <sz val="8"/>
      <color theme="1"/>
      <name val="Century Gothic"/>
      <family val="2"/>
      <charset val="1"/>
    </font>
    <font>
      <u val="single"/>
      <sz val="11"/>
      <color theme="1"/>
      <name val="Century Gothic"/>
      <family val="2"/>
      <charset val="1"/>
    </font>
    <font>
      <sz val="10"/>
      <color theme="1"/>
      <name val="Century Gothic"/>
      <family val="2"/>
      <charset val="1"/>
    </font>
    <font>
      <b val="true"/>
      <u val="single"/>
      <sz val="11"/>
      <color theme="1"/>
      <name val="Century Gothic"/>
      <family val="2"/>
      <charset val="1"/>
    </font>
    <font>
      <b val="true"/>
      <sz val="10"/>
      <color theme="1"/>
      <name val="Century Gothic"/>
      <family val="2"/>
      <charset val="1"/>
    </font>
  </fonts>
  <fills count="7">
    <fill>
      <patternFill patternType="none"/>
    </fill>
    <fill>
      <patternFill patternType="gray125"/>
    </fill>
    <fill>
      <patternFill patternType="solid">
        <fgColor theme="4" tint="0.7999"/>
        <bgColor rgb="FFE3E9DB"/>
      </patternFill>
    </fill>
    <fill>
      <patternFill patternType="solid">
        <fgColor theme="9" tint="0.7999"/>
        <bgColor rgb="FFE3E9DB"/>
      </patternFill>
    </fill>
    <fill>
      <patternFill patternType="solid">
        <fgColor theme="2" tint="-0.1"/>
        <bgColor rgb="FFC7D2B7"/>
      </patternFill>
    </fill>
    <fill>
      <patternFill patternType="solid">
        <fgColor theme="7" tint="0.5999"/>
        <bgColor rgb="FFD1DDB0"/>
      </patternFill>
    </fill>
    <fill>
      <patternFill patternType="solid">
        <fgColor theme="7" tint="0.7999"/>
        <bgColor rgb="FFE1EEE9"/>
      </patternFill>
    </fill>
  </fills>
  <borders count="21">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right/>
      <top style="thin"/>
      <bottom style="medium"/>
      <diagonal/>
    </border>
    <border diagonalUp="false" diagonalDown="false">
      <left style="thin"/>
      <right style="thin"/>
      <top style="medium"/>
      <bottom/>
      <diagonal/>
    </border>
    <border diagonalUp="false" diagonalDown="false">
      <left/>
      <right/>
      <top style="medium"/>
      <bottom/>
      <diagonal/>
    </border>
    <border diagonalUp="false" diagonalDown="false">
      <left/>
      <right style="thin"/>
      <top style="medium"/>
      <bottom/>
      <diagonal/>
    </border>
    <border diagonalUp="false" diagonalDown="false">
      <left style="thin"/>
      <right/>
      <top/>
      <bottom style="medium"/>
      <diagonal/>
    </border>
    <border diagonalUp="false" diagonalDown="false">
      <left style="thin"/>
      <right/>
      <top style="medium"/>
      <bottom/>
      <diagonal/>
    </border>
    <border diagonalUp="false" diagonalDown="false">
      <left style="thin"/>
      <right/>
      <top/>
      <bottom style="thin"/>
      <diagonal/>
    </border>
    <border diagonalUp="false" diagonalDown="false">
      <left style="thin"/>
      <right/>
      <top style="thin"/>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xf numFmtId="164" fontId="0" fillId="2" borderId="0" applyFont="true" applyBorder="true" applyAlignment="true" applyProtection="true">
      <alignment horizontal="general" vertical="center" textRotation="0" wrapText="false" indent="0" shrinkToFit="false"/>
      <protection locked="true" hidden="false"/>
    </xf>
    <xf numFmtId="164" fontId="0" fillId="3" borderId="0" applyFont="true" applyBorder="true" applyAlignment="true" applyProtection="true">
      <alignment horizontal="general" vertical="center" textRotation="0" wrapText="false" indent="0" shrinkToFit="false"/>
      <protection locked="true" hidden="false"/>
    </xf>
    <xf numFmtId="164" fontId="0" fillId="4" borderId="0" applyFont="true" applyBorder="true" applyAlignment="true" applyProtection="true">
      <alignment horizontal="general" vertical="center" textRotation="0" wrapText="false" indent="0" shrinkToFit="false"/>
      <protection locked="true" hidden="false"/>
    </xf>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5" fillId="5" borderId="2" xfId="0" applyFont="true" applyBorder="true" applyAlignment="true" applyProtection="true">
      <alignment horizontal="center" vertical="bottom" textRotation="0" wrapText="false" indent="0" shrinkToFit="false"/>
      <protection locked="true" hidden="false"/>
    </xf>
    <xf numFmtId="164" fontId="5" fillId="6" borderId="2" xfId="0" applyFont="true" applyBorder="true" applyAlignment="true" applyProtection="true">
      <alignment horizontal="general" vertical="bottom" textRotation="0" wrapText="false" indent="0" shrinkToFit="false"/>
      <protection locked="true" hidden="false"/>
    </xf>
    <xf numFmtId="164" fontId="0" fillId="6" borderId="2" xfId="0" applyFont="true" applyBorder="true" applyAlignment="true" applyProtection="true">
      <alignment horizontal="general" vertical="bottom" textRotation="0" wrapText="true" indent="0" shrinkToFit="false"/>
      <protection locked="true" hidden="false"/>
    </xf>
    <xf numFmtId="164" fontId="6" fillId="6" borderId="2"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5" fillId="5" borderId="3" xfId="0" applyFont="true" applyBorder="true" applyAlignment="true" applyProtection="true">
      <alignment horizontal="center" vertical="bottom" textRotation="0" wrapText="false" indent="0" shrinkToFit="false"/>
      <protection locked="true" hidden="false"/>
    </xf>
    <xf numFmtId="164" fontId="0" fillId="6" borderId="4" xfId="0" applyFont="true" applyBorder="true" applyAlignment="true" applyProtection="true">
      <alignment horizontal="left" vertical="top" textRotation="0" wrapText="true" indent="0" shrinkToFit="false"/>
      <protection locked="true" hidden="false"/>
    </xf>
    <xf numFmtId="164" fontId="0" fillId="6" borderId="5"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8" fillId="5" borderId="1" xfId="0" applyFont="true" applyBorder="true" applyAlignment="true" applyProtection="true">
      <alignment horizontal="general" vertical="center" textRotation="0" wrapText="false" indent="0" shrinkToFit="false"/>
      <protection locked="true" hidden="false"/>
    </xf>
    <xf numFmtId="164" fontId="8" fillId="5" borderId="1" xfId="0" applyFont="true" applyBorder="true" applyAlignment="true" applyProtection="true">
      <alignment horizontal="left" vertical="center" textRotation="0" wrapText="false" indent="0" shrinkToFit="false"/>
      <protection locked="true" hidden="false"/>
    </xf>
    <xf numFmtId="164" fontId="8" fillId="5" borderId="0" xfId="0" applyFont="true" applyBorder="false" applyAlignment="true" applyProtection="true">
      <alignment horizontal="center" vertical="center" textRotation="0" wrapText="false" indent="0" shrinkToFit="false"/>
      <protection locked="true" hidden="false"/>
    </xf>
    <xf numFmtId="165" fontId="8" fillId="5" borderId="0" xfId="0" applyFont="true" applyBorder="false" applyAlignment="true" applyProtection="true">
      <alignment horizontal="left" vertical="center"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5" fillId="6" borderId="2" xfId="0" applyFont="true" applyBorder="true" applyAlignment="true" applyProtection="true">
      <alignment horizontal="right" vertical="center" textRotation="0" wrapText="false" indent="0" shrinkToFit="false"/>
      <protection locked="true" hidden="false"/>
    </xf>
    <xf numFmtId="164" fontId="5" fillId="5" borderId="2" xfId="0" applyFont="true" applyBorder="true" applyAlignment="true" applyProtection="true">
      <alignment horizontal="right"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right"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4"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right" vertical="center" textRotation="0" wrapText="false" indent="0" shrinkToFit="false"/>
      <protection locked="true" hidden="false"/>
    </xf>
    <xf numFmtId="164" fontId="5" fillId="0" borderId="6" xfId="0" applyFont="true" applyBorder="true" applyAlignment="true" applyProtection="true">
      <alignment horizontal="left" vertical="center" textRotation="0" wrapText="false" indent="0" shrinkToFit="false"/>
      <protection locked="true" hidden="false"/>
    </xf>
    <xf numFmtId="164" fontId="5" fillId="0" borderId="7" xfId="0" applyFont="true" applyBorder="true" applyAlignment="true" applyProtection="true">
      <alignment horizontal="right" vertical="center" textRotation="0" wrapText="false" indent="0" shrinkToFit="false"/>
      <protection locked="true" hidden="false"/>
    </xf>
    <xf numFmtId="164" fontId="12" fillId="0" borderId="7" xfId="0" applyFont="true" applyBorder="true" applyAlignment="true" applyProtection="true">
      <alignment horizontal="righ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left" vertical="center" textRotation="0" wrapText="false" indent="0" shrinkToFit="false"/>
      <protection locked="true" hidden="false"/>
    </xf>
    <xf numFmtId="164" fontId="0" fillId="0" borderId="9" xfId="0" applyFont="true" applyBorder="true" applyAlignment="true" applyProtection="true">
      <alignment horizontal="right"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13" fillId="0" borderId="0" xfId="2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5" fillId="0" borderId="10" xfId="0" applyFont="true" applyBorder="true" applyAlignment="true" applyProtection="true">
      <alignment horizontal="center" vertical="center" textRotation="0" wrapText="false" indent="0" shrinkToFit="false"/>
      <protection locked="true" hidden="false"/>
    </xf>
    <xf numFmtId="164" fontId="5" fillId="0" borderId="11" xfId="0" applyFont="true" applyBorder="true" applyAlignment="true" applyProtection="true">
      <alignment horizontal="left" vertical="center" textRotation="0" wrapText="false" indent="0" shrinkToFit="false"/>
      <protection locked="true" hidden="false"/>
    </xf>
    <xf numFmtId="164" fontId="5" fillId="0" borderId="12" xfId="0" applyFont="true" applyBorder="true" applyAlignment="true" applyProtection="true">
      <alignment horizontal="right" vertical="center" textRotation="0" wrapText="false" indent="0" shrinkToFit="false"/>
      <protection locked="true" hidden="false"/>
    </xf>
    <xf numFmtId="164" fontId="5" fillId="0" borderId="13" xfId="0" applyFont="true" applyBorder="true" applyAlignment="true" applyProtection="true">
      <alignment horizontal="left" vertical="center" textRotation="0" wrapText="false" indent="0" shrinkToFit="false"/>
      <protection locked="true" hidden="false"/>
    </xf>
    <xf numFmtId="164" fontId="5" fillId="0" borderId="14" xfId="0" applyFont="true" applyBorder="true" applyAlignment="true" applyProtection="true">
      <alignment horizontal="center" vertical="center" textRotation="0" wrapText="true" indent="0" shrinkToFit="false"/>
      <protection locked="true" hidden="false"/>
    </xf>
    <xf numFmtId="164" fontId="0" fillId="0" borderId="15" xfId="0" applyFont="true" applyBorder="true" applyAlignment="true" applyProtection="true">
      <alignment horizontal="left" vertical="center" textRotation="0" wrapText="false" indent="0" shrinkToFit="false"/>
      <protection locked="true" hidden="false"/>
    </xf>
    <xf numFmtId="164" fontId="0" fillId="0" borderId="16" xfId="0" applyFont="true" applyBorder="true" applyAlignment="true" applyProtection="true">
      <alignment horizontal="right" vertical="center" textRotation="0" wrapText="false" indent="0" shrinkToFit="false"/>
      <protection locked="true" hidden="false"/>
    </xf>
    <xf numFmtId="164" fontId="0" fillId="0" borderId="15" xfId="0" applyFont="true" applyBorder="true" applyAlignment="true" applyProtection="true">
      <alignment horizontal="center" vertical="center" textRotation="0" wrapText="false" indent="0" shrinkToFit="false"/>
      <protection locked="true" hidden="false"/>
    </xf>
    <xf numFmtId="164" fontId="0" fillId="0" borderId="16"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5" fillId="0" borderId="17" xfId="0" applyFont="true" applyBorder="true" applyAlignment="true" applyProtection="true">
      <alignment horizontal="center" vertical="center" textRotation="0" wrapText="true" indent="0" shrinkToFit="false"/>
      <protection locked="true" hidden="false"/>
    </xf>
    <xf numFmtId="164" fontId="5" fillId="0" borderId="13" xfId="0" applyFont="true" applyBorder="true" applyAlignment="true" applyProtection="true">
      <alignment horizontal="right" vertical="center" textRotation="0" wrapText="false" indent="0" shrinkToFit="false"/>
      <protection locked="true" hidden="false"/>
    </xf>
    <xf numFmtId="164" fontId="13" fillId="0" borderId="0" xfId="20" applyFont="true" applyBorder="true" applyAlignment="true" applyProtection="true">
      <alignment horizontal="general" vertical="bottom" textRotation="0" wrapText="false" indent="0" shrinkToFit="false"/>
      <protection locked="true" hidden="false"/>
    </xf>
    <xf numFmtId="164" fontId="5" fillId="0" borderId="18" xfId="0" applyFont="true" applyBorder="true" applyAlignment="true" applyProtection="true">
      <alignment horizontal="center" vertical="center" textRotation="0" wrapText="true" indent="0" shrinkToFit="false"/>
      <protection locked="true" hidden="false"/>
    </xf>
    <xf numFmtId="164" fontId="0" fillId="0" borderId="18" xfId="0" applyFont="true" applyBorder="true" applyAlignment="true" applyProtection="true">
      <alignment horizontal="left" vertical="center" textRotation="0" wrapText="false" indent="0" shrinkToFit="false"/>
      <protection locked="true" hidden="false"/>
    </xf>
    <xf numFmtId="164" fontId="5" fillId="0" borderId="8"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right" vertical="center" textRotation="0" wrapText="false" indent="0" shrinkToFit="false"/>
      <protection locked="true" hidden="false"/>
    </xf>
    <xf numFmtId="164" fontId="0" fillId="0" borderId="15" xfId="0" applyFont="true" applyBorder="true" applyAlignment="true" applyProtection="true">
      <alignment horizontal="right" vertical="center" textRotation="0" wrapText="false" indent="0" shrinkToFit="false"/>
      <protection locked="true" hidden="false"/>
    </xf>
    <xf numFmtId="164" fontId="15" fillId="0" borderId="0" xfId="2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5" fillId="0" borderId="20" xfId="0" applyFont="true" applyBorder="true" applyAlignment="true" applyProtection="true">
      <alignment horizontal="center" vertical="center" textRotation="0" wrapText="true" indent="0" shrinkToFit="false"/>
      <protection locked="true" hidden="false"/>
    </xf>
    <xf numFmtId="164" fontId="14" fillId="0" borderId="9" xfId="0" applyFont="true" applyBorder="true" applyAlignment="true" applyProtection="true">
      <alignment horizontal="right"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ompleted" xfId="21"/>
    <cellStyle name="In Progress" xfId="22"/>
    <cellStyle name="Planned for" xfId="23"/>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7D2B7"/>
      <rgbColor rgb="FF808080"/>
      <rgbColor rgb="FF9999FF"/>
      <rgbColor rgb="FF993366"/>
      <rgbColor rgb="FFFFFFCC"/>
      <rgbColor rgb="FFE1EEE9"/>
      <rgbColor rgb="FF660066"/>
      <rgbColor rgb="FFFF8080"/>
      <rgbColor rgb="FF0066CC"/>
      <rgbColor rgb="FFD1DDB0"/>
      <rgbColor rgb="FF000080"/>
      <rgbColor rgb="FFFF00FF"/>
      <rgbColor rgb="FFFFFF00"/>
      <rgbColor rgb="FF00FFFF"/>
      <rgbColor rgb="FF800080"/>
      <rgbColor rgb="FF800000"/>
      <rgbColor rgb="FF008080"/>
      <rgbColor rgb="FF0000FF"/>
      <rgbColor rgb="FF00CCFF"/>
      <rgbColor rgb="FFCCFFFF"/>
      <rgbColor rgb="FFE3E9DB"/>
      <rgbColor rgb="FFFFFF99"/>
      <rgbColor rgb="FF99CCFF"/>
      <rgbColor rgb="FFFF99CC"/>
      <rgbColor rgb="FFCC99FF"/>
      <rgbColor rgb="FFF9CFC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Wisp">
  <a:themeElements>
    <a:clrScheme name="Wisp">
      <a:dk1>
        <a:srgbClr val="000000"/>
      </a:dk1>
      <a:lt1>
        <a:srgbClr val="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7" activeCellId="0" sqref="A17"/>
    </sheetView>
  </sheetViews>
  <sheetFormatPr defaultColWidth="8.5390625" defaultRowHeight="16.5" customHeight="true" zeroHeight="false" outlineLevelRow="0" outlineLevelCol="0"/>
  <cols>
    <col collapsed="false" customWidth="true" hidden="false" outlineLevel="0" max="1" min="1" style="1" width="31.75"/>
    <col collapsed="false" customWidth="true" hidden="false" outlineLevel="0" max="2" min="2" style="2" width="78.38"/>
    <col collapsed="false" customWidth="true" hidden="false" outlineLevel="0" max="3" min="3" style="1" width="13"/>
  </cols>
  <sheetData>
    <row r="1" customFormat="false" ht="19.7" hidden="false" customHeight="false" outlineLevel="0" collapsed="false">
      <c r="A1" s="3" t="s">
        <v>0</v>
      </c>
      <c r="B1" s="3"/>
    </row>
    <row r="2" customFormat="false" ht="16.5" hidden="false" customHeight="false" outlineLevel="0" collapsed="false">
      <c r="A2" s="4" t="s">
        <v>1</v>
      </c>
      <c r="B2" s="4"/>
    </row>
    <row r="3" customFormat="false" ht="27" hidden="false" customHeight="true" outlineLevel="0" collapsed="false">
      <c r="A3" s="5" t="s">
        <v>2</v>
      </c>
      <c r="B3" s="6" t="s">
        <v>3</v>
      </c>
    </row>
    <row r="4" customFormat="false" ht="85.5" hidden="false" customHeight="true" outlineLevel="0" collapsed="false">
      <c r="A4" s="5" t="s">
        <v>4</v>
      </c>
      <c r="B4" s="7" t="s">
        <v>5</v>
      </c>
    </row>
    <row r="5" customFormat="false" ht="68.65" hidden="false" customHeight="false" outlineLevel="0" collapsed="false">
      <c r="A5" s="5" t="s">
        <v>6</v>
      </c>
      <c r="B5" s="6" t="s">
        <v>7</v>
      </c>
    </row>
    <row r="6" customFormat="false" ht="40.5" hidden="false" customHeight="true" outlineLevel="0" collapsed="false">
      <c r="A6" s="5" t="s">
        <v>8</v>
      </c>
      <c r="B6" s="6" t="s">
        <v>9</v>
      </c>
    </row>
    <row r="7" customFormat="false" ht="16.5" hidden="false" customHeight="false" outlineLevel="0" collapsed="false">
      <c r="A7" s="4" t="s">
        <v>10</v>
      </c>
      <c r="B7" s="4"/>
      <c r="C7" s="8"/>
      <c r="D7" s="8"/>
      <c r="E7" s="8"/>
      <c r="F7" s="8"/>
    </row>
    <row r="8" customFormat="false" ht="21.75" hidden="false" customHeight="true" outlineLevel="0" collapsed="false">
      <c r="A8" s="5" t="s">
        <v>11</v>
      </c>
      <c r="B8" s="6" t="s">
        <v>12</v>
      </c>
      <c r="C8" s="8"/>
      <c r="D8" s="8"/>
      <c r="E8" s="8"/>
      <c r="F8" s="8"/>
    </row>
    <row r="9" customFormat="false" ht="28.35" hidden="false" customHeight="false" outlineLevel="0" collapsed="false">
      <c r="A9" s="5" t="s">
        <v>13</v>
      </c>
      <c r="B9" s="6" t="s">
        <v>14</v>
      </c>
      <c r="C9" s="8"/>
      <c r="D9" s="8"/>
      <c r="E9" s="8"/>
      <c r="F9" s="8"/>
    </row>
    <row r="10" customFormat="false" ht="41.75" hidden="false" customHeight="false" outlineLevel="0" collapsed="false">
      <c r="A10" s="5" t="s">
        <v>15</v>
      </c>
      <c r="B10" s="6" t="s">
        <v>16</v>
      </c>
      <c r="C10" s="8"/>
      <c r="D10" s="8"/>
      <c r="E10" s="8"/>
      <c r="F10" s="8"/>
    </row>
    <row r="11" customFormat="false" ht="24" hidden="false" customHeight="true" outlineLevel="0" collapsed="false">
      <c r="A11" s="5" t="s">
        <v>17</v>
      </c>
      <c r="B11" s="6" t="s">
        <v>18</v>
      </c>
      <c r="C11" s="8"/>
      <c r="D11" s="8"/>
      <c r="E11" s="8"/>
      <c r="F11" s="8"/>
    </row>
    <row r="12" customFormat="false" ht="28.35" hidden="false" customHeight="false" outlineLevel="0" collapsed="false">
      <c r="A12" s="5" t="s">
        <v>19</v>
      </c>
      <c r="B12" s="6" t="s">
        <v>20</v>
      </c>
      <c r="C12" s="8"/>
      <c r="D12" s="8"/>
      <c r="E12" s="8"/>
      <c r="F12" s="8"/>
    </row>
    <row r="13" customFormat="false" ht="16.5" hidden="false" customHeight="false" outlineLevel="0" collapsed="false">
      <c r="A13" s="5" t="s">
        <v>21</v>
      </c>
      <c r="B13" s="6" t="s">
        <v>22</v>
      </c>
      <c r="C13" s="8"/>
      <c r="D13" s="8"/>
      <c r="E13" s="8"/>
      <c r="F13" s="8"/>
    </row>
    <row r="14" customFormat="false" ht="55.2" hidden="false" customHeight="false" outlineLevel="0" collapsed="false">
      <c r="A14" s="5" t="s">
        <v>23</v>
      </c>
      <c r="B14" s="6" t="s">
        <v>24</v>
      </c>
      <c r="C14" s="8"/>
      <c r="D14" s="8"/>
      <c r="E14" s="8"/>
      <c r="F14" s="8"/>
    </row>
    <row r="15" customFormat="false" ht="55.2" hidden="false" customHeight="false" outlineLevel="0" collapsed="false">
      <c r="A15" s="5" t="s">
        <v>25</v>
      </c>
      <c r="B15" s="6" t="s">
        <v>26</v>
      </c>
      <c r="C15" s="8"/>
      <c r="D15" s="8"/>
      <c r="E15" s="8"/>
      <c r="F15" s="8"/>
    </row>
    <row r="16" customFormat="false" ht="16.5" hidden="false" customHeight="false" outlineLevel="0" collapsed="false">
      <c r="A16" s="5" t="s">
        <v>27</v>
      </c>
      <c r="B16" s="6" t="s">
        <v>28</v>
      </c>
      <c r="C16" s="8"/>
      <c r="D16" s="8"/>
      <c r="E16" s="8"/>
      <c r="F16" s="8"/>
    </row>
    <row r="17" customFormat="false" ht="28.35" hidden="false" customHeight="false" outlineLevel="0" collapsed="false">
      <c r="A17" s="5" t="s">
        <v>29</v>
      </c>
      <c r="B17" s="6" t="s">
        <v>30</v>
      </c>
      <c r="C17" s="8"/>
      <c r="D17" s="8"/>
      <c r="E17" s="8"/>
      <c r="F17" s="8"/>
    </row>
    <row r="18" customFormat="false" ht="55.2" hidden="false" customHeight="false" outlineLevel="0" collapsed="false">
      <c r="A18" s="5" t="s">
        <v>31</v>
      </c>
      <c r="B18" s="6" t="s">
        <v>32</v>
      </c>
      <c r="C18" s="8"/>
      <c r="D18" s="8"/>
      <c r="E18" s="8"/>
      <c r="F18" s="8"/>
    </row>
    <row r="19" customFormat="false" ht="68.65" hidden="false" customHeight="false" outlineLevel="0" collapsed="false">
      <c r="A19" s="5" t="s">
        <v>33</v>
      </c>
      <c r="B19" s="6" t="s">
        <v>34</v>
      </c>
      <c r="C19" s="9"/>
      <c r="D19" s="9"/>
      <c r="E19" s="9"/>
      <c r="F19" s="9"/>
    </row>
    <row r="20" customFormat="false" ht="15.75" hidden="false" customHeight="true" outlineLevel="0" collapsed="false">
      <c r="A20" s="10" t="s">
        <v>35</v>
      </c>
      <c r="B20" s="10"/>
      <c r="C20" s="8"/>
      <c r="D20" s="8"/>
      <c r="E20" s="8"/>
      <c r="F20" s="8"/>
    </row>
    <row r="21" customFormat="false" ht="15" hidden="false" customHeight="true" outlineLevel="0" collapsed="false">
      <c r="A21" s="11" t="s">
        <v>36</v>
      </c>
      <c r="B21" s="11"/>
      <c r="C21" s="8"/>
      <c r="D21" s="8"/>
      <c r="E21" s="8"/>
      <c r="F21" s="8"/>
    </row>
    <row r="22" customFormat="false" ht="16.5" hidden="false" customHeight="true" outlineLevel="0" collapsed="false">
      <c r="A22" s="11" t="s">
        <v>37</v>
      </c>
      <c r="B22" s="11"/>
      <c r="C22" s="8"/>
      <c r="D22" s="8"/>
      <c r="E22" s="8"/>
      <c r="F22" s="8"/>
    </row>
    <row r="23" customFormat="false" ht="16.5" hidden="false" customHeight="true" outlineLevel="0" collapsed="false">
      <c r="A23" s="11" t="s">
        <v>38</v>
      </c>
      <c r="B23" s="11"/>
      <c r="C23" s="8"/>
      <c r="D23" s="8"/>
      <c r="E23" s="8"/>
      <c r="F23" s="8"/>
    </row>
    <row r="24" customFormat="false" ht="16.5" hidden="false" customHeight="true" outlineLevel="0" collapsed="false">
      <c r="A24" s="11" t="s">
        <v>39</v>
      </c>
      <c r="B24" s="11"/>
      <c r="C24" s="8"/>
      <c r="D24" s="8"/>
      <c r="E24" s="8"/>
      <c r="F24" s="8"/>
    </row>
    <row r="25" customFormat="false" ht="16.5" hidden="false" customHeight="true" outlineLevel="0" collapsed="false">
      <c r="A25" s="11" t="s">
        <v>40</v>
      </c>
      <c r="B25" s="11"/>
      <c r="C25" s="8"/>
      <c r="D25" s="8"/>
      <c r="E25" s="8"/>
      <c r="F25" s="8"/>
    </row>
    <row r="26" customFormat="false" ht="16.5" hidden="false" customHeight="true" outlineLevel="0" collapsed="false">
      <c r="A26" s="11" t="s">
        <v>41</v>
      </c>
      <c r="B26" s="11"/>
    </row>
    <row r="27" customFormat="false" ht="16.5" hidden="false" customHeight="true" outlineLevel="0" collapsed="false">
      <c r="A27" s="11" t="s">
        <v>42</v>
      </c>
      <c r="B27" s="11"/>
    </row>
    <row r="28" customFormat="false" ht="16.5" hidden="false" customHeight="true" outlineLevel="0" collapsed="false">
      <c r="A28" s="11" t="s">
        <v>43</v>
      </c>
      <c r="B28" s="11"/>
    </row>
    <row r="29" customFormat="false" ht="16.5" hidden="false" customHeight="true" outlineLevel="0" collapsed="false">
      <c r="A29" s="11" t="s">
        <v>44</v>
      </c>
      <c r="B29" s="11"/>
    </row>
    <row r="30" customFormat="false" ht="16.5" hidden="false" customHeight="true" outlineLevel="0" collapsed="false">
      <c r="A30" s="11" t="s">
        <v>45</v>
      </c>
      <c r="B30" s="11"/>
    </row>
    <row r="31" customFormat="false" ht="16.5" hidden="false" customHeight="true" outlineLevel="0" collapsed="false">
      <c r="A31" s="11" t="s">
        <v>46</v>
      </c>
      <c r="B31" s="11"/>
    </row>
    <row r="32" customFormat="false" ht="16.5" hidden="false" customHeight="true" outlineLevel="0" collapsed="false">
      <c r="A32" s="11" t="s">
        <v>47</v>
      </c>
      <c r="B32" s="11"/>
      <c r="C32" s="8"/>
    </row>
    <row r="33" customFormat="false" ht="16.5" hidden="false" customHeight="true" outlineLevel="0" collapsed="false">
      <c r="A33" s="12" t="s">
        <v>48</v>
      </c>
      <c r="B33" s="12"/>
      <c r="C33" s="8"/>
    </row>
    <row r="34" customFormat="false" ht="13.8" hidden="false" customHeight="false" outlineLevel="0" collapsed="false">
      <c r="A34" s="2"/>
      <c r="B34" s="8"/>
      <c r="C34" s="8"/>
    </row>
    <row r="35" customFormat="false" ht="13.8" hidden="false" customHeight="false" outlineLevel="0" collapsed="false">
      <c r="A35" s="2"/>
      <c r="B35" s="8"/>
      <c r="C35" s="8"/>
    </row>
    <row r="36" customFormat="false" ht="13.8" hidden="false" customHeight="false" outlineLevel="0" collapsed="false">
      <c r="A36" s="8"/>
      <c r="B36" s="8"/>
      <c r="C36" s="8"/>
    </row>
    <row r="37" customFormat="false" ht="13.8" hidden="false" customHeight="false" outlineLevel="0" collapsed="false">
      <c r="A37" s="8"/>
      <c r="B37" s="8"/>
      <c r="C37" s="8"/>
    </row>
    <row r="38" customFormat="false" ht="13.8" hidden="false" customHeight="false" outlineLevel="0" collapsed="false">
      <c r="A38" s="8"/>
      <c r="B38" s="8"/>
      <c r="C38" s="8"/>
    </row>
    <row r="39" customFormat="false" ht="13.8" hidden="false" customHeight="false" outlineLevel="0" collapsed="false">
      <c r="A39" s="8"/>
      <c r="B39" s="8"/>
      <c r="C39" s="8"/>
    </row>
    <row r="40" customFormat="false" ht="13.8" hidden="false" customHeight="false" outlineLevel="0" collapsed="false">
      <c r="A40" s="8"/>
      <c r="B40" s="8"/>
      <c r="C40" s="8"/>
    </row>
    <row r="41" customFormat="false" ht="13.8" hidden="false" customHeight="false" outlineLevel="0" collapsed="false">
      <c r="A41" s="8"/>
      <c r="B41" s="8"/>
      <c r="C41" s="8"/>
    </row>
    <row r="42" customFormat="false" ht="13.8" hidden="false" customHeight="false" outlineLevel="0" collapsed="false">
      <c r="A42" s="8"/>
      <c r="B42" s="8"/>
      <c r="C42" s="8"/>
    </row>
    <row r="43" customFormat="false" ht="13.8" hidden="false" customHeight="false" outlineLevel="0" collapsed="false">
      <c r="A43" s="8"/>
      <c r="B43" s="8"/>
      <c r="C43" s="8"/>
    </row>
    <row r="44" customFormat="false" ht="13.8" hidden="false" customHeight="false" outlineLevel="0" collapsed="false">
      <c r="C44" s="8"/>
    </row>
  </sheetData>
  <mergeCells count="17">
    <mergeCell ref="A1:B1"/>
    <mergeCell ref="A2:B2"/>
    <mergeCell ref="A7:B7"/>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9"/>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D32" activeCellId="0" sqref="D32"/>
    </sheetView>
  </sheetViews>
  <sheetFormatPr defaultColWidth="12.62890625" defaultRowHeight="16.5" customHeight="true" zeroHeight="false" outlineLevelRow="0" outlineLevelCol="0"/>
  <cols>
    <col collapsed="false" customWidth="true" hidden="false" outlineLevel="0" max="1" min="1" style="13" width="10"/>
    <col collapsed="false" customWidth="true" hidden="false" outlineLevel="0" max="2" min="2" style="14" width="21.5"/>
    <col collapsed="false" customWidth="true" hidden="false" outlineLevel="0" max="3" min="3" style="15" width="4.75"/>
    <col collapsed="false" customWidth="true" hidden="false" outlineLevel="0" max="4" min="4" style="14" width="22"/>
    <col collapsed="false" customWidth="true" hidden="false" outlineLevel="0" max="5" min="5" style="15" width="4.88"/>
    <col collapsed="false" customWidth="true" hidden="false" outlineLevel="0" max="6" min="6" style="14" width="20.13"/>
    <col collapsed="false" customWidth="true" hidden="false" outlineLevel="0" max="7" min="7" style="15" width="4.88"/>
    <col collapsed="false" customWidth="true" hidden="false" outlineLevel="0" max="8" min="8" style="14" width="25"/>
    <col collapsed="false" customWidth="true" hidden="false" outlineLevel="0" max="9" min="9" style="15" width="4.5"/>
    <col collapsed="false" customWidth="true" hidden="false" outlineLevel="0" max="10" min="10" style="15" width="3"/>
    <col collapsed="false" customWidth="true" hidden="false" outlineLevel="0" max="11" min="11" style="13" width="30.63"/>
    <col collapsed="false" customWidth="true" hidden="false" outlineLevel="0" max="12" min="12" style="14" width="3.25"/>
    <col collapsed="false" customWidth="true" hidden="false" outlineLevel="0" max="13" min="13" style="13" width="52.25"/>
    <col collapsed="false" customWidth="true" hidden="false" outlineLevel="0" max="14" min="14" style="13" width="10.25"/>
    <col collapsed="false" customWidth="false" hidden="false" outlineLevel="0" max="16384" min="15" style="13" width="12.63"/>
  </cols>
  <sheetData>
    <row r="1" customFormat="false" ht="16.5" hidden="false" customHeight="false" outlineLevel="0" collapsed="false">
      <c r="A1" s="16" t="s">
        <v>49</v>
      </c>
      <c r="B1" s="16"/>
      <c r="C1" s="16"/>
      <c r="D1" s="16"/>
      <c r="E1" s="16"/>
      <c r="F1" s="16"/>
      <c r="G1" s="16"/>
      <c r="H1" s="16"/>
      <c r="I1" s="16"/>
      <c r="K1" s="17" t="s">
        <v>50</v>
      </c>
    </row>
    <row r="2" customFormat="false" ht="18" hidden="false" customHeight="true" outlineLevel="0" collapsed="false">
      <c r="A2" s="16"/>
      <c r="B2" s="16"/>
      <c r="C2" s="16"/>
      <c r="D2" s="16"/>
      <c r="E2" s="16"/>
      <c r="F2" s="16"/>
      <c r="G2" s="16"/>
      <c r="H2" s="16"/>
      <c r="I2" s="16"/>
      <c r="K2" s="18" t="s">
        <v>51</v>
      </c>
    </row>
    <row r="3" customFormat="false" ht="17.35" hidden="false" customHeight="false" outlineLevel="0" collapsed="false">
      <c r="A3" s="19"/>
      <c r="B3" s="20" t="s">
        <v>52</v>
      </c>
      <c r="C3" s="21"/>
      <c r="D3" s="21"/>
      <c r="E3" s="22" t="s">
        <v>53</v>
      </c>
      <c r="F3" s="23"/>
      <c r="G3" s="22"/>
      <c r="H3" s="19"/>
      <c r="I3" s="19"/>
      <c r="K3" s="24" t="s">
        <v>54</v>
      </c>
    </row>
    <row r="4" customFormat="false" ht="17.35" hidden="false" customHeight="false" outlineLevel="0" collapsed="false">
      <c r="A4" s="25"/>
      <c r="B4" s="26" t="s">
        <v>55</v>
      </c>
      <c r="C4" s="26" t="n">
        <v>23</v>
      </c>
      <c r="D4" s="26" t="s">
        <v>56</v>
      </c>
      <c r="E4" s="26" t="n">
        <f aca="false">C13+E13+G13+I13+I20+G20+E20+C20+C27+E27+G27+I27+I34+G34+E34+C34+C41+E41+G41+I41</f>
        <v>150</v>
      </c>
      <c r="F4" s="26" t="s">
        <v>57</v>
      </c>
      <c r="G4" s="27" t="n">
        <f aca="false">128-C4-E4</f>
        <v>-45</v>
      </c>
      <c r="H4" s="28"/>
      <c r="I4" s="29"/>
      <c r="J4" s="30"/>
      <c r="K4" s="31" t="s">
        <v>58</v>
      </c>
    </row>
    <row r="5" customFormat="false" ht="17.35" hidden="false" customHeight="false" outlineLevel="0" collapsed="false">
      <c r="A5" s="25"/>
      <c r="B5" s="32"/>
      <c r="C5" s="32"/>
      <c r="D5" s="32"/>
      <c r="E5" s="32"/>
      <c r="F5" s="32"/>
      <c r="G5" s="32"/>
      <c r="H5" s="28"/>
      <c r="I5" s="29"/>
      <c r="J5" s="30"/>
      <c r="K5" s="13" t="s">
        <v>59</v>
      </c>
    </row>
    <row r="6" customFormat="false" ht="16.5" hidden="false" customHeight="false" outlineLevel="0" collapsed="false">
      <c r="A6" s="30"/>
      <c r="B6" s="33" t="s">
        <v>60</v>
      </c>
      <c r="C6" s="34"/>
      <c r="D6" s="33" t="s">
        <v>61</v>
      </c>
      <c r="E6" s="34"/>
      <c r="F6" s="33" t="s">
        <v>62</v>
      </c>
      <c r="G6" s="34"/>
      <c r="H6" s="33" t="s">
        <v>63</v>
      </c>
      <c r="I6" s="35"/>
      <c r="J6" s="36"/>
    </row>
    <row r="7" customFormat="false" ht="16.5" hidden="false" customHeight="false" outlineLevel="0" collapsed="false">
      <c r="A7" s="37" t="s">
        <v>64</v>
      </c>
      <c r="B7" s="38"/>
      <c r="C7" s="39"/>
      <c r="E7" s="39"/>
      <c r="G7" s="39"/>
      <c r="I7" s="39"/>
      <c r="J7" s="36"/>
      <c r="K7" s="17" t="s">
        <v>65</v>
      </c>
      <c r="L7" s="40" t="s">
        <v>66</v>
      </c>
      <c r="M7" s="17" t="s">
        <v>67</v>
      </c>
      <c r="N7" s="17" t="s">
        <v>68</v>
      </c>
    </row>
    <row r="8" customFormat="false" ht="16.5" hidden="false" customHeight="false" outlineLevel="0" collapsed="false">
      <c r="A8" s="41"/>
      <c r="C8" s="39"/>
      <c r="E8" s="39"/>
      <c r="G8" s="39"/>
      <c r="I8" s="39"/>
      <c r="J8" s="36"/>
      <c r="K8" s="13" t="s">
        <v>69</v>
      </c>
      <c r="L8" s="42" t="n">
        <v>1</v>
      </c>
      <c r="M8" s="13" t="s">
        <v>70</v>
      </c>
    </row>
    <row r="9" customFormat="false" ht="13.5" hidden="false" customHeight="true" outlineLevel="0" collapsed="false">
      <c r="A9" s="41"/>
      <c r="C9" s="39"/>
      <c r="E9" s="39"/>
      <c r="G9" s="39"/>
      <c r="I9" s="39"/>
      <c r="J9" s="36"/>
      <c r="K9" s="43" t="s">
        <v>71</v>
      </c>
      <c r="L9" s="42" t="n">
        <v>1</v>
      </c>
      <c r="M9" s="13" t="s">
        <v>72</v>
      </c>
      <c r="R9" s="44"/>
      <c r="S9" s="44"/>
      <c r="T9" s="45"/>
      <c r="U9" s="45"/>
    </row>
    <row r="10" customFormat="false" ht="16.5" hidden="false" customHeight="false" outlineLevel="0" collapsed="false">
      <c r="A10" s="41"/>
      <c r="C10" s="39"/>
      <c r="E10" s="39"/>
      <c r="G10" s="39"/>
      <c r="I10" s="39"/>
      <c r="J10" s="36"/>
      <c r="K10" s="13" t="s">
        <v>73</v>
      </c>
      <c r="L10" s="42" t="n">
        <v>4</v>
      </c>
      <c r="M10" s="13" t="s">
        <v>74</v>
      </c>
      <c r="R10" s="44"/>
      <c r="S10" s="44"/>
      <c r="T10" s="45"/>
      <c r="U10" s="45"/>
    </row>
    <row r="11" customFormat="false" ht="16.5" hidden="false" customHeight="false" outlineLevel="0" collapsed="false">
      <c r="A11" s="41"/>
      <c r="C11" s="39"/>
      <c r="E11" s="39"/>
      <c r="G11" s="39"/>
      <c r="I11" s="39"/>
      <c r="J11" s="36"/>
      <c r="K11" s="13" t="s">
        <v>75</v>
      </c>
      <c r="L11" s="46" t="n">
        <v>4</v>
      </c>
      <c r="M11" s="13" t="s">
        <v>76</v>
      </c>
      <c r="N11" s="13" t="s">
        <v>77</v>
      </c>
      <c r="R11" s="44"/>
      <c r="S11" s="44"/>
      <c r="T11" s="45"/>
      <c r="U11" s="45"/>
    </row>
    <row r="12" customFormat="false" ht="14.25" hidden="false" customHeight="true" outlineLevel="0" collapsed="false">
      <c r="A12" s="41"/>
      <c r="C12" s="39"/>
      <c r="E12" s="39"/>
      <c r="G12" s="39"/>
      <c r="I12" s="39"/>
      <c r="J12" s="36"/>
      <c r="K12" s="13" t="s">
        <v>78</v>
      </c>
      <c r="L12" s="46" t="n">
        <v>4</v>
      </c>
      <c r="M12" s="13" t="s">
        <v>79</v>
      </c>
      <c r="N12" s="13" t="s">
        <v>77</v>
      </c>
      <c r="R12" s="44"/>
      <c r="S12" s="44"/>
      <c r="T12" s="45"/>
      <c r="U12" s="45"/>
    </row>
    <row r="13" customFormat="false" ht="14.25" hidden="false" customHeight="true" outlineLevel="0" collapsed="false">
      <c r="A13" s="47"/>
      <c r="B13" s="48" t="s">
        <v>80</v>
      </c>
      <c r="C13" s="49" t="n">
        <f aca="false">SUM(C7:C12)</f>
        <v>0</v>
      </c>
      <c r="D13" s="50" t="s">
        <v>80</v>
      </c>
      <c r="E13" s="49" t="n">
        <f aca="false">SUM(E7:E12)</f>
        <v>0</v>
      </c>
      <c r="F13" s="50" t="s">
        <v>80</v>
      </c>
      <c r="G13" s="49" t="n">
        <f aca="false">SUM(G7:G12)</f>
        <v>0</v>
      </c>
      <c r="H13" s="50" t="s">
        <v>80</v>
      </c>
      <c r="I13" s="49" t="n">
        <f aca="false">SUM(I7:I12)</f>
        <v>0</v>
      </c>
      <c r="J13" s="36"/>
      <c r="K13" s="13" t="s">
        <v>81</v>
      </c>
      <c r="L13" s="46" t="n">
        <v>4</v>
      </c>
      <c r="M13" s="13" t="s">
        <v>82</v>
      </c>
      <c r="N13" s="13" t="s">
        <v>77</v>
      </c>
      <c r="R13" s="44"/>
      <c r="S13" s="44"/>
      <c r="T13" s="45"/>
      <c r="U13" s="45"/>
    </row>
    <row r="14" customFormat="false" ht="15" hidden="false" customHeight="true" outlineLevel="0" collapsed="false">
      <c r="A14" s="51" t="s">
        <v>83</v>
      </c>
      <c r="B14" s="52"/>
      <c r="C14" s="53"/>
      <c r="D14" s="54" t="s">
        <v>84</v>
      </c>
      <c r="E14" s="55"/>
      <c r="F14" s="54" t="s">
        <v>84</v>
      </c>
      <c r="G14" s="53"/>
      <c r="H14" s="52" t="s">
        <v>85</v>
      </c>
      <c r="I14" s="53" t="n">
        <v>4</v>
      </c>
      <c r="J14" s="36"/>
      <c r="K14" s="13" t="s">
        <v>86</v>
      </c>
      <c r="L14" s="14" t="n">
        <v>4</v>
      </c>
      <c r="M14" s="13" t="s">
        <v>87</v>
      </c>
      <c r="R14" s="44"/>
      <c r="S14" s="44"/>
      <c r="T14" s="45"/>
      <c r="U14" s="45"/>
    </row>
    <row r="15" customFormat="false" ht="14.25" hidden="false" customHeight="true" outlineLevel="0" collapsed="false">
      <c r="A15" s="56"/>
      <c r="C15" s="39"/>
      <c r="E15" s="39"/>
      <c r="G15" s="39"/>
      <c r="H15" s="14" t="s">
        <v>88</v>
      </c>
      <c r="I15" s="39" t="n">
        <v>4</v>
      </c>
      <c r="J15" s="36"/>
      <c r="K15" s="13" t="s">
        <v>89</v>
      </c>
      <c r="L15" s="46" t="n">
        <v>4</v>
      </c>
      <c r="M15" s="13" t="s">
        <v>90</v>
      </c>
    </row>
    <row r="16" customFormat="false" ht="16.5" hidden="false" customHeight="false" outlineLevel="0" collapsed="false">
      <c r="A16" s="56"/>
      <c r="C16" s="39"/>
      <c r="E16" s="39"/>
      <c r="G16" s="39"/>
      <c r="I16" s="39"/>
      <c r="J16" s="36"/>
      <c r="K16" s="13" t="s">
        <v>91</v>
      </c>
      <c r="L16" s="46" t="n">
        <v>4</v>
      </c>
      <c r="M16" s="13" t="s">
        <v>92</v>
      </c>
      <c r="N16" s="13" t="s">
        <v>93</v>
      </c>
      <c r="Q16" s="45"/>
    </row>
    <row r="17" customFormat="false" ht="16.5" hidden="false" customHeight="false" outlineLevel="0" collapsed="false">
      <c r="A17" s="56"/>
      <c r="C17" s="39"/>
      <c r="E17" s="39"/>
      <c r="G17" s="39"/>
      <c r="I17" s="39"/>
      <c r="J17" s="36"/>
      <c r="K17" s="13" t="s">
        <v>94</v>
      </c>
      <c r="L17" s="14" t="n">
        <v>4</v>
      </c>
      <c r="M17" s="13" t="s">
        <v>95</v>
      </c>
      <c r="N17" s="13" t="s">
        <v>96</v>
      </c>
      <c r="Q17" s="45"/>
    </row>
    <row r="18" customFormat="false" ht="16.5" hidden="false" customHeight="false" outlineLevel="0" collapsed="false">
      <c r="A18" s="56"/>
      <c r="C18" s="39"/>
      <c r="E18" s="39"/>
      <c r="G18" s="39"/>
      <c r="I18" s="39"/>
      <c r="J18" s="36"/>
      <c r="K18" s="13" t="s">
        <v>97</v>
      </c>
      <c r="L18" s="14" t="n">
        <v>4</v>
      </c>
      <c r="M18" s="13" t="s">
        <v>98</v>
      </c>
      <c r="Q18" s="45"/>
    </row>
    <row r="19" customFormat="false" ht="16.5" hidden="false" customHeight="false" outlineLevel="0" collapsed="false">
      <c r="A19" s="56"/>
      <c r="C19" s="39" t="n">
        <v>84</v>
      </c>
      <c r="E19" s="39"/>
      <c r="G19" s="39"/>
      <c r="I19" s="39"/>
      <c r="J19" s="36"/>
      <c r="K19" s="43" t="s">
        <v>15</v>
      </c>
      <c r="L19" s="14" t="n">
        <v>1</v>
      </c>
      <c r="M19" s="13" t="s">
        <v>99</v>
      </c>
      <c r="Q19" s="45"/>
    </row>
    <row r="20" customFormat="false" ht="16.5" hidden="false" customHeight="false" outlineLevel="0" collapsed="false">
      <c r="A20" s="57"/>
      <c r="B20" s="48" t="s">
        <v>80</v>
      </c>
      <c r="C20" s="49" t="n">
        <f aca="false">SUM(C14:C19)</f>
        <v>84</v>
      </c>
      <c r="D20" s="50" t="s">
        <v>80</v>
      </c>
      <c r="E20" s="49" t="n">
        <f aca="false">SUM(E14:E19)</f>
        <v>0</v>
      </c>
      <c r="F20" s="50" t="s">
        <v>80</v>
      </c>
      <c r="G20" s="58" t="n">
        <f aca="false">SUM(G14:G19)</f>
        <v>0</v>
      </c>
      <c r="H20" s="48" t="s">
        <v>80</v>
      </c>
      <c r="I20" s="49" t="n">
        <f aca="false">SUM(I14:I19)</f>
        <v>8</v>
      </c>
      <c r="J20" s="36"/>
      <c r="K20" s="59" t="s">
        <v>100</v>
      </c>
      <c r="L20" s="14" t="n">
        <v>4</v>
      </c>
      <c r="M20" s="13" t="s">
        <v>101</v>
      </c>
      <c r="O20" s="45"/>
      <c r="P20" s="45"/>
      <c r="Q20" s="45"/>
    </row>
    <row r="21" customFormat="false" ht="28.35" hidden="false" customHeight="false" outlineLevel="0" collapsed="false">
      <c r="A21" s="60" t="s">
        <v>102</v>
      </c>
      <c r="B21" s="61" t="s">
        <v>103</v>
      </c>
      <c r="C21" s="53" t="n">
        <v>5</v>
      </c>
      <c r="D21" s="14" t="s">
        <v>104</v>
      </c>
      <c r="E21" s="53" t="n">
        <v>4</v>
      </c>
      <c r="F21" s="61" t="s">
        <v>105</v>
      </c>
      <c r="G21" s="53" t="n">
        <v>4</v>
      </c>
      <c r="H21" s="54" t="s">
        <v>84</v>
      </c>
      <c r="I21" s="1"/>
      <c r="J21" s="36"/>
      <c r="K21" s="13" t="s">
        <v>100</v>
      </c>
      <c r="L21" s="14" t="n">
        <v>4</v>
      </c>
      <c r="M21" s="13" t="s">
        <v>101</v>
      </c>
      <c r="O21" s="45"/>
      <c r="P21" s="45"/>
      <c r="Q21" s="45"/>
    </row>
    <row r="22" customFormat="false" ht="16.5" hidden="false" customHeight="false" outlineLevel="0" collapsed="false">
      <c r="A22" s="62"/>
      <c r="B22" s="38" t="s">
        <v>106</v>
      </c>
      <c r="C22" s="39" t="n">
        <v>4</v>
      </c>
      <c r="D22" s="38" t="s">
        <v>107</v>
      </c>
      <c r="E22" s="39" t="n">
        <v>4</v>
      </c>
      <c r="F22" s="38"/>
      <c r="G22" s="39" t="n">
        <v>4</v>
      </c>
      <c r="H22" s="14" t="s">
        <v>108</v>
      </c>
      <c r="I22" s="1"/>
      <c r="J22" s="36"/>
      <c r="K22" s="13" t="s">
        <v>100</v>
      </c>
      <c r="L22" s="14" t="n">
        <v>4</v>
      </c>
      <c r="M22" s="13" t="s">
        <v>101</v>
      </c>
      <c r="N22" s="45"/>
      <c r="O22" s="45"/>
      <c r="P22" s="45"/>
    </row>
    <row r="23" customFormat="false" ht="16.5" hidden="false" customHeight="false" outlineLevel="0" collapsed="false">
      <c r="A23" s="62"/>
      <c r="B23" s="38" t="s">
        <v>109</v>
      </c>
      <c r="C23" s="39" t="n">
        <v>4</v>
      </c>
      <c r="D23" s="38" t="s">
        <v>110</v>
      </c>
      <c r="E23" s="39" t="n">
        <v>4</v>
      </c>
      <c r="F23" s="1"/>
      <c r="G23" s="63"/>
      <c r="I23" s="39"/>
      <c r="J23" s="36"/>
      <c r="K23" s="13" t="s">
        <v>100</v>
      </c>
      <c r="L23" s="42" t="n">
        <v>4</v>
      </c>
      <c r="M23" s="13" t="s">
        <v>101</v>
      </c>
      <c r="N23" s="45"/>
    </row>
    <row r="24" customFormat="false" ht="15" hidden="false" customHeight="true" outlineLevel="0" collapsed="false">
      <c r="A24" s="62"/>
      <c r="B24" s="38" t="s">
        <v>111</v>
      </c>
      <c r="C24" s="39" t="n">
        <v>4</v>
      </c>
      <c r="D24" s="38" t="s">
        <v>112</v>
      </c>
      <c r="E24" s="39" t="n">
        <v>4</v>
      </c>
      <c r="F24" s="38"/>
      <c r="G24" s="63"/>
      <c r="I24" s="39"/>
      <c r="J24" s="36"/>
      <c r="K24" s="59" t="s">
        <v>113</v>
      </c>
      <c r="L24" s="46" t="n">
        <v>5</v>
      </c>
      <c r="M24" s="13" t="s">
        <v>114</v>
      </c>
      <c r="N24" s="45" t="s">
        <v>115</v>
      </c>
    </row>
    <row r="25" customFormat="false" ht="16.5" hidden="false" customHeight="false" outlineLevel="0" collapsed="false">
      <c r="A25" s="62"/>
      <c r="D25" s="1"/>
      <c r="E25" s="1"/>
      <c r="F25" s="38"/>
      <c r="G25" s="63"/>
      <c r="H25" s="38"/>
      <c r="I25" s="39"/>
      <c r="J25" s="36"/>
      <c r="K25" s="13" t="s">
        <v>116</v>
      </c>
      <c r="L25" s="42" t="n">
        <v>5</v>
      </c>
      <c r="M25" s="13" t="s">
        <v>114</v>
      </c>
      <c r="N25" s="13" t="s">
        <v>115</v>
      </c>
    </row>
    <row r="26" customFormat="false" ht="16.5" hidden="false" customHeight="false" outlineLevel="0" collapsed="false">
      <c r="A26" s="62"/>
      <c r="B26" s="38"/>
      <c r="C26" s="39"/>
      <c r="E26" s="39"/>
      <c r="G26" s="63"/>
      <c r="H26" s="38"/>
      <c r="I26" s="39"/>
      <c r="J26" s="36"/>
      <c r="K26" s="43" t="s">
        <v>117</v>
      </c>
      <c r="L26" s="42" t="n">
        <v>4</v>
      </c>
      <c r="M26" s="13" t="s">
        <v>118</v>
      </c>
      <c r="N26" s="13" t="s">
        <v>119</v>
      </c>
    </row>
    <row r="27" customFormat="false" ht="16.5" hidden="false" customHeight="false" outlineLevel="0" collapsed="false">
      <c r="A27" s="57"/>
      <c r="B27" s="48" t="s">
        <v>80</v>
      </c>
      <c r="C27" s="49" t="n">
        <f aca="false">SUM(C21:C26)</f>
        <v>17</v>
      </c>
      <c r="D27" s="50" t="s">
        <v>80</v>
      </c>
      <c r="E27" s="49" t="n">
        <f aca="false">SUM(E21:E26)</f>
        <v>16</v>
      </c>
      <c r="F27" s="50" t="s">
        <v>80</v>
      </c>
      <c r="G27" s="49" t="n">
        <f aca="false">SUM(G21:G26)</f>
        <v>8</v>
      </c>
      <c r="H27" s="50" t="s">
        <v>80</v>
      </c>
      <c r="I27" s="49" t="n">
        <f aca="false">SUM(I21:I26)</f>
        <v>0</v>
      </c>
      <c r="J27" s="36"/>
      <c r="L27" s="42"/>
    </row>
    <row r="28" customFormat="false" ht="28.35" hidden="false" customHeight="false" outlineLevel="0" collapsed="false">
      <c r="A28" s="56" t="s">
        <v>120</v>
      </c>
      <c r="B28" s="54" t="s">
        <v>84</v>
      </c>
      <c r="C28" s="1"/>
      <c r="D28" s="52" t="s">
        <v>121</v>
      </c>
      <c r="E28" s="64" t="n">
        <v>4</v>
      </c>
      <c r="F28" s="1"/>
      <c r="G28" s="53"/>
      <c r="H28" s="1"/>
      <c r="I28" s="53"/>
      <c r="J28" s="36"/>
      <c r="K28" s="43" t="s">
        <v>122</v>
      </c>
      <c r="L28" s="42" t="n">
        <v>4</v>
      </c>
      <c r="M28" s="13" t="s">
        <v>123</v>
      </c>
    </row>
    <row r="29" customFormat="false" ht="16.5" hidden="false" customHeight="false" outlineLevel="0" collapsed="false">
      <c r="A29" s="56"/>
      <c r="B29" s="14" t="s">
        <v>124</v>
      </c>
      <c r="C29" s="1"/>
      <c r="D29" s="1" t="s">
        <v>125</v>
      </c>
      <c r="E29" s="15" t="n">
        <v>4</v>
      </c>
      <c r="F29" s="1"/>
      <c r="G29" s="39"/>
      <c r="H29" s="1"/>
      <c r="I29" s="39"/>
      <c r="J29" s="36"/>
      <c r="K29" s="13" t="s">
        <v>122</v>
      </c>
      <c r="L29" s="46" t="n">
        <v>4</v>
      </c>
      <c r="M29" s="13" t="s">
        <v>123</v>
      </c>
    </row>
    <row r="30" customFormat="false" ht="16.5" hidden="false" customHeight="false" outlineLevel="0" collapsed="false">
      <c r="A30" s="56"/>
      <c r="C30" s="1"/>
      <c r="D30" s="1" t="s">
        <v>126</v>
      </c>
      <c r="E30" s="15" t="n">
        <v>4</v>
      </c>
      <c r="F30" s="1"/>
      <c r="G30" s="39"/>
      <c r="H30" s="1"/>
      <c r="I30" s="39"/>
      <c r="J30" s="36"/>
      <c r="K30" s="13" t="s">
        <v>122</v>
      </c>
      <c r="L30" s="46" t="n">
        <v>4</v>
      </c>
      <c r="M30" s="13" t="s">
        <v>123</v>
      </c>
    </row>
    <row r="31" customFormat="false" ht="14.25" hidden="false" customHeight="true" outlineLevel="0" collapsed="false">
      <c r="A31" s="56"/>
      <c r="C31" s="1"/>
      <c r="D31" s="14" t="s">
        <v>127</v>
      </c>
      <c r="E31" s="15" t="n">
        <v>4</v>
      </c>
      <c r="F31" s="1"/>
      <c r="G31" s="39"/>
      <c r="H31" s="1"/>
      <c r="I31" s="39"/>
      <c r="J31" s="36"/>
    </row>
    <row r="32" customFormat="false" ht="16.5" hidden="false" customHeight="false" outlineLevel="0" collapsed="false">
      <c r="A32" s="56"/>
      <c r="C32" s="1"/>
      <c r="D32" s="14" t="s">
        <v>128</v>
      </c>
      <c r="E32" s="15" t="n">
        <v>1</v>
      </c>
      <c r="F32" s="1"/>
      <c r="G32" s="39"/>
      <c r="H32" s="1"/>
      <c r="I32" s="39"/>
      <c r="J32" s="36"/>
      <c r="K32" s="65" t="s">
        <v>129</v>
      </c>
    </row>
    <row r="33" customFormat="false" ht="16.5" hidden="false" customHeight="false" outlineLevel="0" collapsed="false">
      <c r="A33" s="56"/>
      <c r="B33" s="38"/>
      <c r="C33" s="39"/>
      <c r="D33" s="66" t="s">
        <v>130</v>
      </c>
      <c r="F33" s="38"/>
      <c r="G33" s="39"/>
      <c r="I33" s="39"/>
      <c r="J33" s="36"/>
      <c r="K33" s="13" t="s">
        <v>131</v>
      </c>
      <c r="M33" s="13" t="s">
        <v>132</v>
      </c>
      <c r="N33" s="13" t="s">
        <v>133</v>
      </c>
    </row>
    <row r="34" customFormat="false" ht="16.5" hidden="false" customHeight="false" outlineLevel="0" collapsed="false">
      <c r="A34" s="67"/>
      <c r="B34" s="48" t="s">
        <v>80</v>
      </c>
      <c r="C34" s="49" t="n">
        <f aca="false">SUM(C28:C33)</f>
        <v>0</v>
      </c>
      <c r="D34" s="50" t="s">
        <v>80</v>
      </c>
      <c r="E34" s="49" t="n">
        <f aca="false">SUM(E28:E33)</f>
        <v>17</v>
      </c>
      <c r="F34" s="50" t="s">
        <v>80</v>
      </c>
      <c r="G34" s="58" t="n">
        <f aca="false">SUM(G28:G33)</f>
        <v>0</v>
      </c>
      <c r="H34" s="48" t="s">
        <v>80</v>
      </c>
      <c r="I34" s="49" t="n">
        <f aca="false">SUM(I28:I33)</f>
        <v>0</v>
      </c>
      <c r="J34" s="36"/>
      <c r="K34" s="13" t="s">
        <v>134</v>
      </c>
      <c r="L34" s="14" t="n">
        <v>4</v>
      </c>
      <c r="M34" s="13" t="s">
        <v>132</v>
      </c>
      <c r="N34" s="13" t="s">
        <v>135</v>
      </c>
    </row>
    <row r="35" customFormat="false" ht="28.35" hidden="false" customHeight="false" outlineLevel="0" collapsed="false">
      <c r="A35" s="68" t="s">
        <v>136</v>
      </c>
      <c r="B35" s="38"/>
      <c r="C35" s="39"/>
      <c r="E35" s="39"/>
      <c r="G35" s="39"/>
      <c r="I35" s="39"/>
      <c r="J35" s="36"/>
      <c r="K35" s="13" t="s">
        <v>137</v>
      </c>
      <c r="L35" s="14" t="n">
        <v>4</v>
      </c>
      <c r="M35" s="13" t="s">
        <v>132</v>
      </c>
      <c r="N35" s="13" t="s">
        <v>138</v>
      </c>
    </row>
    <row r="36" customFormat="false" ht="16.5" hidden="false" customHeight="false" outlineLevel="0" collapsed="false">
      <c r="A36" s="62"/>
      <c r="B36" s="38"/>
      <c r="C36" s="39"/>
      <c r="E36" s="39"/>
      <c r="G36" s="39"/>
      <c r="I36" s="39"/>
      <c r="J36" s="36"/>
      <c r="K36" s="13" t="s">
        <v>139</v>
      </c>
      <c r="L36" s="14" t="n">
        <v>4</v>
      </c>
      <c r="M36" s="13" t="s">
        <v>132</v>
      </c>
      <c r="N36" s="13" t="s">
        <v>140</v>
      </c>
    </row>
    <row r="37" customFormat="false" ht="16.5" hidden="false" customHeight="false" outlineLevel="0" collapsed="false">
      <c r="A37" s="62"/>
      <c r="B37" s="38"/>
      <c r="C37" s="39"/>
      <c r="E37" s="39"/>
      <c r="G37" s="69"/>
      <c r="I37" s="39"/>
      <c r="J37" s="36"/>
      <c r="K37" s="13" t="s">
        <v>141</v>
      </c>
      <c r="L37" s="14" t="n">
        <v>4</v>
      </c>
      <c r="M37" s="13" t="s">
        <v>132</v>
      </c>
      <c r="N37" s="13" t="s">
        <v>142</v>
      </c>
    </row>
    <row r="38" customFormat="false" ht="16.5" hidden="false" customHeight="false" outlineLevel="0" collapsed="false">
      <c r="A38" s="62"/>
      <c r="B38" s="38"/>
      <c r="C38" s="39"/>
      <c r="E38" s="39"/>
      <c r="G38" s="69"/>
      <c r="I38" s="39"/>
      <c r="J38" s="36"/>
      <c r="K38" s="13" t="s">
        <v>143</v>
      </c>
      <c r="L38" s="14" t="n">
        <v>4</v>
      </c>
      <c r="M38" s="13" t="s">
        <v>144</v>
      </c>
      <c r="N38" s="13" t="s">
        <v>145</v>
      </c>
    </row>
    <row r="39" customFormat="false" ht="16.5" hidden="false" customHeight="false" outlineLevel="0" collapsed="false">
      <c r="A39" s="62"/>
      <c r="B39" s="38"/>
      <c r="C39" s="39"/>
      <c r="E39" s="39"/>
      <c r="G39" s="69"/>
      <c r="I39" s="39"/>
      <c r="J39" s="36"/>
      <c r="K39" s="43" t="s">
        <v>27</v>
      </c>
      <c r="L39" s="14" t="n">
        <v>4</v>
      </c>
      <c r="M39" s="13" t="s">
        <v>146</v>
      </c>
      <c r="N39" s="13" t="s">
        <v>147</v>
      </c>
    </row>
    <row r="40" customFormat="false" ht="16.5" hidden="false" customHeight="false" outlineLevel="0" collapsed="false">
      <c r="A40" s="62"/>
      <c r="B40" s="38"/>
      <c r="C40" s="39"/>
      <c r="E40" s="39"/>
      <c r="G40" s="69"/>
      <c r="I40" s="39"/>
      <c r="J40" s="36"/>
      <c r="K40" s="43" t="s">
        <v>148</v>
      </c>
      <c r="M40" s="13" t="s">
        <v>149</v>
      </c>
      <c r="N40" s="13" t="s">
        <v>150</v>
      </c>
    </row>
    <row r="41" customFormat="false" ht="16.5" hidden="false" customHeight="false" outlineLevel="0" collapsed="false">
      <c r="A41" s="57"/>
      <c r="B41" s="48" t="s">
        <v>80</v>
      </c>
      <c r="C41" s="49" t="n">
        <f aca="false">SUM(C35:C40)</f>
        <v>0</v>
      </c>
      <c r="D41" s="50" t="s">
        <v>80</v>
      </c>
      <c r="E41" s="49" t="n">
        <f aca="false">SUM(E35:E40)</f>
        <v>0</v>
      </c>
      <c r="F41" s="50" t="s">
        <v>80</v>
      </c>
      <c r="G41" s="49" t="n">
        <f aca="false">SUM(G35:G40)</f>
        <v>0</v>
      </c>
      <c r="H41" s="50" t="s">
        <v>80</v>
      </c>
      <c r="I41" s="49" t="n">
        <f aca="false">SUM(I35:I40)</f>
        <v>0</v>
      </c>
      <c r="J41" s="36"/>
      <c r="K41" s="17"/>
    </row>
    <row r="42" customFormat="false" ht="16.5" hidden="false" customHeight="false" outlineLevel="0" collapsed="false">
      <c r="A42" s="70" t="s">
        <v>151</v>
      </c>
      <c r="B42" s="71"/>
      <c r="C42" s="63"/>
      <c r="D42" s="71"/>
      <c r="E42" s="63"/>
      <c r="F42" s="71"/>
      <c r="G42" s="63"/>
      <c r="H42" s="71"/>
      <c r="I42" s="63"/>
      <c r="J42" s="72"/>
      <c r="K42" s="65" t="s">
        <v>152</v>
      </c>
    </row>
    <row r="43" customFormat="false" ht="16.5" hidden="false" customHeight="false" outlineLevel="0" collapsed="false">
      <c r="J43" s="72"/>
    </row>
    <row r="44" customFormat="false" ht="15" hidden="false" customHeight="true" outlineLevel="0" collapsed="false">
      <c r="A44" s="73" t="s">
        <v>153</v>
      </c>
      <c r="B44" s="73"/>
      <c r="C44" s="73"/>
      <c r="D44" s="73"/>
      <c r="E44" s="73"/>
      <c r="F44" s="73"/>
      <c r="G44" s="73"/>
      <c r="H44" s="73"/>
      <c r="I44" s="73"/>
      <c r="J44" s="73"/>
    </row>
    <row r="45" customFormat="false" ht="13.8" hidden="false" customHeight="false" outlineLevel="0" collapsed="false">
      <c r="A45" s="73"/>
      <c r="B45" s="73"/>
      <c r="C45" s="73"/>
      <c r="D45" s="73"/>
      <c r="E45" s="73"/>
      <c r="F45" s="73"/>
      <c r="G45" s="73"/>
      <c r="H45" s="73"/>
      <c r="I45" s="73"/>
      <c r="J45" s="73"/>
    </row>
    <row r="46" customFormat="false" ht="13.8" hidden="false" customHeight="false" outlineLevel="0" collapsed="false">
      <c r="A46" s="73"/>
      <c r="B46" s="73"/>
      <c r="C46" s="73"/>
      <c r="D46" s="73"/>
      <c r="E46" s="73"/>
      <c r="F46" s="73"/>
      <c r="G46" s="73"/>
      <c r="H46" s="73"/>
      <c r="I46" s="73"/>
      <c r="J46" s="73"/>
      <c r="M46" s="17"/>
    </row>
    <row r="47" customFormat="false" ht="13.8" hidden="false" customHeight="false" outlineLevel="0" collapsed="false">
      <c r="A47" s="73"/>
      <c r="B47" s="73"/>
      <c r="C47" s="73"/>
      <c r="D47" s="73"/>
      <c r="E47" s="73"/>
      <c r="F47" s="73"/>
      <c r="G47" s="73"/>
      <c r="H47" s="73"/>
      <c r="I47" s="73"/>
      <c r="J47" s="73"/>
    </row>
    <row r="48" customFormat="false" ht="13.8" hidden="false" customHeight="false" outlineLevel="0" collapsed="false">
      <c r="A48" s="73"/>
      <c r="B48" s="73"/>
      <c r="C48" s="73"/>
      <c r="D48" s="73"/>
      <c r="E48" s="73"/>
      <c r="F48" s="73"/>
      <c r="G48" s="73"/>
      <c r="H48" s="73"/>
      <c r="I48" s="73"/>
      <c r="J48" s="73"/>
    </row>
    <row r="49" customFormat="false" ht="13.8" hidden="false" customHeight="false" outlineLevel="0" collapsed="false">
      <c r="A49" s="73"/>
      <c r="B49" s="73"/>
      <c r="C49" s="73"/>
      <c r="D49" s="73"/>
      <c r="E49" s="73"/>
      <c r="F49" s="73"/>
      <c r="G49" s="73"/>
      <c r="H49" s="73"/>
      <c r="I49" s="73"/>
      <c r="J49" s="73"/>
    </row>
    <row r="50" customFormat="false" ht="13.8" hidden="false" customHeight="false" outlineLevel="0" collapsed="false">
      <c r="A50" s="73"/>
      <c r="B50" s="73"/>
      <c r="C50" s="73"/>
      <c r="D50" s="73"/>
      <c r="E50" s="73"/>
      <c r="F50" s="73"/>
      <c r="G50" s="73"/>
      <c r="H50" s="73"/>
      <c r="I50" s="73"/>
      <c r="J50" s="73"/>
    </row>
    <row r="51" customFormat="false" ht="13.8" hidden="false" customHeight="false" outlineLevel="0" collapsed="false">
      <c r="A51" s="73"/>
      <c r="B51" s="73"/>
      <c r="C51" s="73"/>
      <c r="D51" s="73"/>
      <c r="E51" s="73"/>
      <c r="F51" s="73"/>
      <c r="G51" s="73"/>
      <c r="H51" s="73"/>
      <c r="I51" s="73"/>
      <c r="J51" s="73"/>
    </row>
    <row r="52" customFormat="false" ht="13.8" hidden="false" customHeight="false" outlineLevel="0" collapsed="false">
      <c r="A52" s="73"/>
      <c r="B52" s="73"/>
      <c r="C52" s="73"/>
      <c r="D52" s="73"/>
      <c r="E52" s="73"/>
      <c r="F52" s="73"/>
      <c r="G52" s="73"/>
      <c r="H52" s="73"/>
      <c r="I52" s="73"/>
      <c r="J52" s="73"/>
    </row>
    <row r="53" customFormat="false" ht="13.8" hidden="false" customHeight="false" outlineLevel="0" collapsed="false">
      <c r="A53" s="73"/>
      <c r="B53" s="73"/>
      <c r="C53" s="73"/>
      <c r="D53" s="73"/>
      <c r="E53" s="73"/>
      <c r="F53" s="73"/>
      <c r="G53" s="73"/>
      <c r="H53" s="73"/>
      <c r="I53" s="73"/>
      <c r="J53" s="73"/>
    </row>
    <row r="54" customFormat="false" ht="13.8" hidden="false" customHeight="false" outlineLevel="0" collapsed="false">
      <c r="A54" s="73"/>
      <c r="B54" s="73"/>
      <c r="C54" s="73"/>
      <c r="D54" s="73"/>
      <c r="E54" s="73"/>
      <c r="F54" s="73"/>
      <c r="G54" s="73"/>
      <c r="H54" s="73"/>
      <c r="I54" s="73"/>
      <c r="J54" s="73"/>
    </row>
    <row r="55" customFormat="false" ht="13.8" hidden="false" customHeight="false" outlineLevel="0" collapsed="false">
      <c r="A55" s="73"/>
      <c r="B55" s="73"/>
      <c r="C55" s="73"/>
      <c r="D55" s="73"/>
      <c r="E55" s="73"/>
      <c r="F55" s="73"/>
      <c r="G55" s="73"/>
      <c r="H55" s="73"/>
      <c r="I55" s="73"/>
      <c r="J55" s="73"/>
    </row>
    <row r="56" customFormat="false" ht="13.8" hidden="false" customHeight="false" outlineLevel="0" collapsed="false">
      <c r="A56" s="73"/>
      <c r="B56" s="73"/>
      <c r="C56" s="73"/>
      <c r="D56" s="73"/>
      <c r="E56" s="73"/>
      <c r="F56" s="73"/>
      <c r="G56" s="73"/>
      <c r="H56" s="73"/>
      <c r="I56" s="73"/>
      <c r="J56" s="73"/>
    </row>
    <row r="57" customFormat="false" ht="13.8" hidden="false" customHeight="false" outlineLevel="0" collapsed="false">
      <c r="A57" s="73"/>
      <c r="B57" s="73"/>
      <c r="C57" s="73"/>
      <c r="D57" s="73"/>
      <c r="E57" s="73"/>
      <c r="F57" s="73"/>
      <c r="G57" s="73"/>
      <c r="H57" s="73"/>
      <c r="I57" s="73"/>
      <c r="J57" s="73"/>
    </row>
    <row r="58" customFormat="false" ht="13.8" hidden="false" customHeight="false" outlineLevel="0" collapsed="false">
      <c r="A58" s="73"/>
      <c r="B58" s="73"/>
      <c r="C58" s="73"/>
      <c r="D58" s="73"/>
      <c r="E58" s="73"/>
      <c r="F58" s="73"/>
      <c r="G58" s="73"/>
      <c r="H58" s="73"/>
      <c r="I58" s="73"/>
      <c r="J58" s="73"/>
    </row>
    <row r="59" customFormat="false" ht="13.8" hidden="false" customHeight="false" outlineLevel="0" collapsed="false">
      <c r="A59" s="73"/>
      <c r="B59" s="73"/>
      <c r="C59" s="73"/>
      <c r="D59" s="73"/>
      <c r="E59" s="73"/>
      <c r="F59" s="73"/>
      <c r="G59" s="73"/>
      <c r="H59" s="73"/>
      <c r="I59" s="73"/>
      <c r="J59" s="73"/>
    </row>
  </sheetData>
  <mergeCells count="3">
    <mergeCell ref="A1:I2"/>
    <mergeCell ref="C3:D3"/>
    <mergeCell ref="A44:J59"/>
  </mergeCells>
  <hyperlinks>
    <hyperlink ref="K9" location="'Academic Planning Guide'!B9" display="EESC 2000"/>
    <hyperlink ref="K19" location="'Academic Planning Guide'!B10" display="MATH 3000"/>
    <hyperlink ref="K20" location="'Academic Planning Guide'!A11" display="MATH ELECTIVE (3000+)"/>
    <hyperlink ref="K24" location="'Academic Planning Guide'!A12" display="REQUIRED PHYSICS 1"/>
    <hyperlink ref="K26" location="'Academic Planning Guide'!A13" display="CAPSTONE"/>
    <hyperlink ref="K28" location="'Academic Planning Guide'!A14" display="UPPER DIVISION ELECTIVE"/>
    <hyperlink ref="K32" location="'Academic Planning Guide'!A17" display="NUPath not met by Major:"/>
    <hyperlink ref="K39" location="'Academic Planning Guide'!A16" display="Advanced Writing in the Disciplines"/>
    <hyperlink ref="K40" location="'Academic Planning Guide'!A15" display="Integration Experience - EX"/>
    <hyperlink ref="K42" location="'Academic Planning Guide'!A18" display="General Electives - if needed"/>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9"/>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23" activeCellId="0" sqref="F23"/>
    </sheetView>
  </sheetViews>
  <sheetFormatPr defaultColWidth="12.62890625" defaultRowHeight="16.5" customHeight="true" zeroHeight="false" outlineLevelRow="0" outlineLevelCol="0"/>
  <cols>
    <col collapsed="false" customWidth="true" hidden="false" outlineLevel="0" max="1" min="1" style="13" width="10"/>
    <col collapsed="false" customWidth="true" hidden="false" outlineLevel="0" max="2" min="2" style="14" width="21.5"/>
    <col collapsed="false" customWidth="true" hidden="false" outlineLevel="0" max="3" min="3" style="15" width="4.75"/>
    <col collapsed="false" customWidth="true" hidden="false" outlineLevel="0" max="4" min="4" style="14" width="22"/>
    <col collapsed="false" customWidth="true" hidden="false" outlineLevel="0" max="5" min="5" style="15" width="4.88"/>
    <col collapsed="false" customWidth="true" hidden="false" outlineLevel="0" max="6" min="6" style="14" width="20.13"/>
    <col collapsed="false" customWidth="true" hidden="false" outlineLevel="0" max="7" min="7" style="15" width="4.88"/>
    <col collapsed="false" customWidth="true" hidden="false" outlineLevel="0" max="8" min="8" style="14" width="25"/>
    <col collapsed="false" customWidth="true" hidden="false" outlineLevel="0" max="9" min="9" style="15" width="4.5"/>
    <col collapsed="false" customWidth="true" hidden="false" outlineLevel="0" max="10" min="10" style="15" width="3"/>
    <col collapsed="false" customWidth="true" hidden="false" outlineLevel="0" max="11" min="11" style="13" width="30.63"/>
    <col collapsed="false" customWidth="true" hidden="false" outlineLevel="0" max="12" min="12" style="14" width="3.25"/>
    <col collapsed="false" customWidth="true" hidden="false" outlineLevel="0" max="13" min="13" style="13" width="52.25"/>
    <col collapsed="false" customWidth="true" hidden="false" outlineLevel="0" max="14" min="14" style="13" width="10.25"/>
    <col collapsed="false" customWidth="false" hidden="false" outlineLevel="0" max="21" min="15" style="13" width="12.63"/>
  </cols>
  <sheetData>
    <row r="1" customFormat="false" ht="16.5" hidden="false" customHeight="false" outlineLevel="0" collapsed="false">
      <c r="A1" s="16" t="s">
        <v>49</v>
      </c>
      <c r="B1" s="16"/>
      <c r="C1" s="16"/>
      <c r="D1" s="16"/>
      <c r="E1" s="16"/>
      <c r="F1" s="16"/>
      <c r="G1" s="16"/>
      <c r="H1" s="16"/>
      <c r="I1" s="16"/>
      <c r="K1" s="17" t="s">
        <v>50</v>
      </c>
    </row>
    <row r="2" customFormat="false" ht="18" hidden="false" customHeight="true" outlineLevel="0" collapsed="false">
      <c r="A2" s="16"/>
      <c r="B2" s="16"/>
      <c r="C2" s="16"/>
      <c r="D2" s="16"/>
      <c r="E2" s="16"/>
      <c r="F2" s="16"/>
      <c r="G2" s="16"/>
      <c r="H2" s="16"/>
      <c r="I2" s="16"/>
      <c r="K2" s="18" t="s">
        <v>51</v>
      </c>
    </row>
    <row r="3" customFormat="false" ht="17.35" hidden="false" customHeight="false" outlineLevel="0" collapsed="false">
      <c r="A3" s="19"/>
      <c r="B3" s="20" t="s">
        <v>52</v>
      </c>
      <c r="C3" s="21"/>
      <c r="D3" s="21"/>
      <c r="E3" s="22" t="s">
        <v>53</v>
      </c>
      <c r="F3" s="23"/>
      <c r="G3" s="22"/>
      <c r="H3" s="19"/>
      <c r="I3" s="19"/>
      <c r="K3" s="24" t="s">
        <v>54</v>
      </c>
    </row>
    <row r="4" customFormat="false" ht="17.35" hidden="false" customHeight="false" outlineLevel="0" collapsed="false">
      <c r="A4" s="25"/>
      <c r="B4" s="26" t="s">
        <v>55</v>
      </c>
      <c r="C4" s="26" t="n">
        <v>23</v>
      </c>
      <c r="D4" s="26" t="s">
        <v>56</v>
      </c>
      <c r="E4" s="26" t="n">
        <f aca="false">C13+E13+G13+I13+I20+G20+E20+C20+C27+E27+G27+I27+I34+G34+E34+C34+C41+E41+G41+I41</f>
        <v>150</v>
      </c>
      <c r="F4" s="26" t="s">
        <v>57</v>
      </c>
      <c r="G4" s="27" t="n">
        <f aca="false">128-C4-E4</f>
        <v>-45</v>
      </c>
      <c r="H4" s="28"/>
      <c r="I4" s="29"/>
      <c r="J4" s="30"/>
      <c r="K4" s="31" t="s">
        <v>58</v>
      </c>
    </row>
    <row r="5" customFormat="false" ht="17.35" hidden="false" customHeight="false" outlineLevel="0" collapsed="false">
      <c r="A5" s="25"/>
      <c r="B5" s="32"/>
      <c r="C5" s="32"/>
      <c r="D5" s="32"/>
      <c r="E5" s="32"/>
      <c r="F5" s="32"/>
      <c r="G5" s="32"/>
      <c r="H5" s="28"/>
      <c r="I5" s="29"/>
      <c r="J5" s="30"/>
      <c r="K5" s="13" t="s">
        <v>59</v>
      </c>
    </row>
    <row r="6" customFormat="false" ht="16.5" hidden="false" customHeight="false" outlineLevel="0" collapsed="false">
      <c r="A6" s="30"/>
      <c r="B6" s="33" t="s">
        <v>60</v>
      </c>
      <c r="C6" s="34"/>
      <c r="D6" s="33" t="s">
        <v>61</v>
      </c>
      <c r="E6" s="34"/>
      <c r="F6" s="33" t="s">
        <v>62</v>
      </c>
      <c r="G6" s="34"/>
      <c r="H6" s="33" t="s">
        <v>63</v>
      </c>
      <c r="I6" s="35"/>
      <c r="J6" s="36"/>
    </row>
    <row r="7" customFormat="false" ht="16.5" hidden="false" customHeight="false" outlineLevel="0" collapsed="false">
      <c r="A7" s="37" t="s">
        <v>64</v>
      </c>
      <c r="B7" s="38"/>
      <c r="C7" s="39"/>
      <c r="E7" s="39"/>
      <c r="G7" s="39"/>
      <c r="I7" s="39"/>
      <c r="J7" s="36"/>
      <c r="K7" s="17" t="s">
        <v>65</v>
      </c>
      <c r="L7" s="40" t="s">
        <v>66</v>
      </c>
      <c r="M7" s="17" t="s">
        <v>67</v>
      </c>
      <c r="N7" s="17" t="s">
        <v>68</v>
      </c>
    </row>
    <row r="8" customFormat="false" ht="16.5" hidden="false" customHeight="false" outlineLevel="0" collapsed="false">
      <c r="A8" s="41"/>
      <c r="C8" s="39"/>
      <c r="E8" s="39"/>
      <c r="G8" s="39"/>
      <c r="I8" s="39"/>
      <c r="J8" s="36"/>
      <c r="K8" s="13" t="s">
        <v>69</v>
      </c>
      <c r="L8" s="42" t="n">
        <v>1</v>
      </c>
      <c r="M8" s="13" t="s">
        <v>70</v>
      </c>
    </row>
    <row r="9" customFormat="false" ht="13.5" hidden="false" customHeight="true" outlineLevel="0" collapsed="false">
      <c r="A9" s="41"/>
      <c r="C9" s="39"/>
      <c r="E9" s="39"/>
      <c r="G9" s="39"/>
      <c r="I9" s="39"/>
      <c r="J9" s="36"/>
      <c r="K9" s="43" t="s">
        <v>71</v>
      </c>
      <c r="L9" s="42" t="n">
        <v>1</v>
      </c>
      <c r="M9" s="13" t="s">
        <v>72</v>
      </c>
      <c r="R9" s="44"/>
      <c r="S9" s="44"/>
      <c r="T9" s="45"/>
      <c r="U9" s="45"/>
    </row>
    <row r="10" customFormat="false" ht="16.5" hidden="false" customHeight="false" outlineLevel="0" collapsed="false">
      <c r="A10" s="41"/>
      <c r="C10" s="39"/>
      <c r="E10" s="39"/>
      <c r="G10" s="39"/>
      <c r="I10" s="39"/>
      <c r="J10" s="36"/>
      <c r="K10" s="13" t="s">
        <v>73</v>
      </c>
      <c r="L10" s="42" t="n">
        <v>4</v>
      </c>
      <c r="M10" s="13" t="s">
        <v>74</v>
      </c>
      <c r="R10" s="44"/>
      <c r="S10" s="44"/>
      <c r="T10" s="45"/>
      <c r="U10" s="45"/>
    </row>
    <row r="11" customFormat="false" ht="16.5" hidden="false" customHeight="false" outlineLevel="0" collapsed="false">
      <c r="A11" s="41"/>
      <c r="C11" s="39"/>
      <c r="E11" s="39"/>
      <c r="G11" s="39"/>
      <c r="I11" s="39"/>
      <c r="J11" s="36"/>
      <c r="K11" s="13" t="s">
        <v>75</v>
      </c>
      <c r="L11" s="46" t="n">
        <v>4</v>
      </c>
      <c r="M11" s="13" t="s">
        <v>76</v>
      </c>
      <c r="N11" s="13" t="s">
        <v>77</v>
      </c>
      <c r="R11" s="44"/>
      <c r="S11" s="44"/>
      <c r="T11" s="45"/>
      <c r="U11" s="45"/>
    </row>
    <row r="12" customFormat="false" ht="14.25" hidden="false" customHeight="true" outlineLevel="0" collapsed="false">
      <c r="A12" s="41"/>
      <c r="C12" s="39"/>
      <c r="E12" s="39"/>
      <c r="G12" s="39"/>
      <c r="I12" s="39"/>
      <c r="J12" s="36"/>
      <c r="K12" s="13" t="s">
        <v>78</v>
      </c>
      <c r="L12" s="46" t="n">
        <v>4</v>
      </c>
      <c r="M12" s="13" t="s">
        <v>79</v>
      </c>
      <c r="N12" s="13" t="s">
        <v>77</v>
      </c>
      <c r="R12" s="44"/>
      <c r="S12" s="44"/>
      <c r="T12" s="45"/>
      <c r="U12" s="45"/>
    </row>
    <row r="13" customFormat="false" ht="14.25" hidden="false" customHeight="true" outlineLevel="0" collapsed="false">
      <c r="A13" s="47"/>
      <c r="B13" s="48" t="s">
        <v>80</v>
      </c>
      <c r="C13" s="49" t="n">
        <f aca="false">SUM(C7:C12)</f>
        <v>0</v>
      </c>
      <c r="D13" s="50" t="s">
        <v>80</v>
      </c>
      <c r="E13" s="49" t="n">
        <f aca="false">SUM(E7:E12)</f>
        <v>0</v>
      </c>
      <c r="F13" s="50" t="s">
        <v>80</v>
      </c>
      <c r="G13" s="49" t="n">
        <f aca="false">SUM(G7:G12)</f>
        <v>0</v>
      </c>
      <c r="H13" s="50" t="s">
        <v>80</v>
      </c>
      <c r="I13" s="49" t="n">
        <f aca="false">SUM(I7:I12)</f>
        <v>0</v>
      </c>
      <c r="J13" s="36"/>
      <c r="K13" s="13" t="s">
        <v>81</v>
      </c>
      <c r="L13" s="46" t="n">
        <v>4</v>
      </c>
      <c r="M13" s="13" t="s">
        <v>82</v>
      </c>
      <c r="N13" s="13" t="s">
        <v>77</v>
      </c>
      <c r="R13" s="44"/>
      <c r="S13" s="44"/>
      <c r="T13" s="45"/>
      <c r="U13" s="45"/>
    </row>
    <row r="14" customFormat="false" ht="15" hidden="false" customHeight="true" outlineLevel="0" collapsed="false">
      <c r="A14" s="51" t="s">
        <v>83</v>
      </c>
      <c r="B14" s="52"/>
      <c r="C14" s="53"/>
      <c r="D14" s="54" t="s">
        <v>84</v>
      </c>
      <c r="E14" s="55"/>
      <c r="F14" s="54" t="s">
        <v>84</v>
      </c>
      <c r="G14" s="53"/>
      <c r="H14" s="52" t="s">
        <v>85</v>
      </c>
      <c r="I14" s="53" t="n">
        <v>4</v>
      </c>
      <c r="J14" s="36"/>
      <c r="K14" s="13" t="s">
        <v>86</v>
      </c>
      <c r="L14" s="14" t="n">
        <v>4</v>
      </c>
      <c r="M14" s="13" t="s">
        <v>87</v>
      </c>
      <c r="R14" s="44"/>
      <c r="S14" s="44"/>
      <c r="T14" s="45"/>
      <c r="U14" s="45"/>
    </row>
    <row r="15" customFormat="false" ht="14.25" hidden="false" customHeight="true" outlineLevel="0" collapsed="false">
      <c r="A15" s="56"/>
      <c r="C15" s="39"/>
      <c r="E15" s="39"/>
      <c r="G15" s="39"/>
      <c r="H15" s="14" t="s">
        <v>88</v>
      </c>
      <c r="I15" s="39" t="n">
        <v>4</v>
      </c>
      <c r="J15" s="36"/>
      <c r="K15" s="13" t="s">
        <v>89</v>
      </c>
      <c r="L15" s="46" t="n">
        <v>4</v>
      </c>
      <c r="M15" s="13" t="s">
        <v>90</v>
      </c>
    </row>
    <row r="16" customFormat="false" ht="16.5" hidden="false" customHeight="false" outlineLevel="0" collapsed="false">
      <c r="A16" s="56"/>
      <c r="C16" s="39"/>
      <c r="E16" s="39"/>
      <c r="G16" s="39"/>
      <c r="I16" s="39"/>
      <c r="J16" s="36"/>
      <c r="K16" s="13" t="s">
        <v>91</v>
      </c>
      <c r="L16" s="46" t="n">
        <v>4</v>
      </c>
      <c r="M16" s="13" t="s">
        <v>92</v>
      </c>
      <c r="N16" s="13" t="s">
        <v>93</v>
      </c>
      <c r="Q16" s="45"/>
    </row>
    <row r="17" customFormat="false" ht="16.5" hidden="false" customHeight="false" outlineLevel="0" collapsed="false">
      <c r="A17" s="56"/>
      <c r="C17" s="39"/>
      <c r="E17" s="39"/>
      <c r="G17" s="39"/>
      <c r="I17" s="39"/>
      <c r="J17" s="36"/>
      <c r="K17" s="13" t="s">
        <v>94</v>
      </c>
      <c r="L17" s="14" t="n">
        <v>4</v>
      </c>
      <c r="M17" s="13" t="s">
        <v>95</v>
      </c>
      <c r="N17" s="13" t="s">
        <v>96</v>
      </c>
      <c r="Q17" s="45"/>
    </row>
    <row r="18" customFormat="false" ht="16.5" hidden="false" customHeight="false" outlineLevel="0" collapsed="false">
      <c r="A18" s="56"/>
      <c r="C18" s="39"/>
      <c r="E18" s="39"/>
      <c r="G18" s="39"/>
      <c r="I18" s="39"/>
      <c r="J18" s="36"/>
      <c r="K18" s="13" t="s">
        <v>97</v>
      </c>
      <c r="L18" s="14" t="n">
        <v>4</v>
      </c>
      <c r="M18" s="13" t="s">
        <v>98</v>
      </c>
      <c r="Q18" s="45"/>
    </row>
    <row r="19" customFormat="false" ht="16.5" hidden="false" customHeight="false" outlineLevel="0" collapsed="false">
      <c r="A19" s="56"/>
      <c r="C19" s="39" t="n">
        <v>84</v>
      </c>
      <c r="E19" s="39"/>
      <c r="G19" s="39"/>
      <c r="I19" s="39"/>
      <c r="J19" s="36"/>
      <c r="K19" s="43" t="s">
        <v>15</v>
      </c>
      <c r="L19" s="14" t="n">
        <v>1</v>
      </c>
      <c r="M19" s="13" t="s">
        <v>99</v>
      </c>
      <c r="Q19" s="45"/>
    </row>
    <row r="20" customFormat="false" ht="16.5" hidden="false" customHeight="false" outlineLevel="0" collapsed="false">
      <c r="A20" s="57"/>
      <c r="B20" s="48" t="s">
        <v>80</v>
      </c>
      <c r="C20" s="49" t="n">
        <f aca="false">SUM(C14:C19)</f>
        <v>84</v>
      </c>
      <c r="D20" s="50" t="s">
        <v>80</v>
      </c>
      <c r="E20" s="49" t="n">
        <f aca="false">SUM(E14:E19)</f>
        <v>0</v>
      </c>
      <c r="F20" s="50" t="s">
        <v>80</v>
      </c>
      <c r="G20" s="58" t="n">
        <f aca="false">SUM(G14:G19)</f>
        <v>0</v>
      </c>
      <c r="H20" s="48" t="s">
        <v>80</v>
      </c>
      <c r="I20" s="49" t="n">
        <f aca="false">SUM(I14:I19)</f>
        <v>8</v>
      </c>
      <c r="J20" s="36"/>
      <c r="K20" s="59" t="s">
        <v>100</v>
      </c>
      <c r="L20" s="14" t="n">
        <v>4</v>
      </c>
      <c r="M20" s="13" t="s">
        <v>101</v>
      </c>
      <c r="O20" s="45"/>
      <c r="P20" s="45"/>
      <c r="Q20" s="45"/>
    </row>
    <row r="21" customFormat="false" ht="28.35" hidden="false" customHeight="false" outlineLevel="0" collapsed="false">
      <c r="A21" s="60" t="s">
        <v>102</v>
      </c>
      <c r="B21" s="61" t="s">
        <v>103</v>
      </c>
      <c r="C21" s="53" t="n">
        <v>5</v>
      </c>
      <c r="D21" s="14" t="s">
        <v>104</v>
      </c>
      <c r="E21" s="53" t="n">
        <v>4</v>
      </c>
      <c r="F21" s="1"/>
      <c r="G21" s="53" t="n">
        <v>4</v>
      </c>
      <c r="H21" s="54" t="s">
        <v>84</v>
      </c>
      <c r="I21" s="1"/>
      <c r="J21" s="36"/>
      <c r="K21" s="13" t="s">
        <v>100</v>
      </c>
      <c r="L21" s="14" t="n">
        <v>4</v>
      </c>
      <c r="M21" s="13" t="s">
        <v>101</v>
      </c>
      <c r="O21" s="45"/>
      <c r="P21" s="45"/>
      <c r="Q21" s="45"/>
    </row>
    <row r="22" customFormat="false" ht="16.5" hidden="false" customHeight="false" outlineLevel="0" collapsed="false">
      <c r="A22" s="62"/>
      <c r="B22" s="38" t="s">
        <v>106</v>
      </c>
      <c r="C22" s="39" t="n">
        <v>4</v>
      </c>
      <c r="D22" s="38" t="s">
        <v>107</v>
      </c>
      <c r="E22" s="39" t="n">
        <v>4</v>
      </c>
      <c r="F22" s="38" t="s">
        <v>112</v>
      </c>
      <c r="G22" s="39" t="n">
        <v>4</v>
      </c>
      <c r="I22" s="1"/>
      <c r="J22" s="36"/>
      <c r="K22" s="13" t="s">
        <v>100</v>
      </c>
      <c r="L22" s="14" t="n">
        <v>4</v>
      </c>
      <c r="M22" s="13" t="s">
        <v>101</v>
      </c>
      <c r="N22" s="45"/>
      <c r="O22" s="45"/>
      <c r="P22" s="45"/>
    </row>
    <row r="23" customFormat="false" ht="16.5" hidden="false" customHeight="false" outlineLevel="0" collapsed="false">
      <c r="A23" s="62"/>
      <c r="B23" s="38" t="s">
        <v>109</v>
      </c>
      <c r="C23" s="39" t="n">
        <v>4</v>
      </c>
      <c r="D23" s="38" t="s">
        <v>110</v>
      </c>
      <c r="E23" s="39" t="n">
        <v>4</v>
      </c>
      <c r="F23" s="1"/>
      <c r="G23" s="63"/>
      <c r="I23" s="39"/>
      <c r="J23" s="36"/>
      <c r="K23" s="13" t="s">
        <v>100</v>
      </c>
      <c r="L23" s="42" t="n">
        <v>4</v>
      </c>
      <c r="M23" s="13" t="s">
        <v>101</v>
      </c>
      <c r="N23" s="45"/>
    </row>
    <row r="24" customFormat="false" ht="15" hidden="false" customHeight="true" outlineLevel="0" collapsed="false">
      <c r="A24" s="62"/>
      <c r="B24" s="38" t="s">
        <v>111</v>
      </c>
      <c r="C24" s="39" t="n">
        <v>4</v>
      </c>
      <c r="D24" s="61" t="s">
        <v>154</v>
      </c>
      <c r="E24" s="39" t="n">
        <v>4</v>
      </c>
      <c r="F24" s="38"/>
      <c r="G24" s="63"/>
      <c r="I24" s="39"/>
      <c r="J24" s="36"/>
      <c r="K24" s="59" t="s">
        <v>113</v>
      </c>
      <c r="L24" s="46" t="n">
        <v>5</v>
      </c>
      <c r="M24" s="13" t="s">
        <v>114</v>
      </c>
      <c r="N24" s="45" t="s">
        <v>115</v>
      </c>
    </row>
    <row r="25" customFormat="false" ht="16.5" hidden="false" customHeight="false" outlineLevel="0" collapsed="false">
      <c r="A25" s="62"/>
      <c r="D25" s="1"/>
      <c r="E25" s="1"/>
      <c r="F25" s="38"/>
      <c r="G25" s="63"/>
      <c r="H25" s="38"/>
      <c r="I25" s="39"/>
      <c r="J25" s="36"/>
      <c r="K25" s="13" t="s">
        <v>116</v>
      </c>
      <c r="L25" s="42" t="n">
        <v>5</v>
      </c>
      <c r="M25" s="13" t="s">
        <v>114</v>
      </c>
      <c r="N25" s="13" t="s">
        <v>115</v>
      </c>
    </row>
    <row r="26" customFormat="false" ht="16.5" hidden="false" customHeight="false" outlineLevel="0" collapsed="false">
      <c r="A26" s="62"/>
      <c r="B26" s="38"/>
      <c r="C26" s="39"/>
      <c r="E26" s="39"/>
      <c r="G26" s="63"/>
      <c r="H26" s="38"/>
      <c r="I26" s="39"/>
      <c r="J26" s="36"/>
      <c r="K26" s="43" t="s">
        <v>117</v>
      </c>
      <c r="L26" s="42" t="n">
        <v>4</v>
      </c>
      <c r="M26" s="13" t="s">
        <v>118</v>
      </c>
      <c r="N26" s="13" t="s">
        <v>119</v>
      </c>
    </row>
    <row r="27" customFormat="false" ht="16.5" hidden="false" customHeight="false" outlineLevel="0" collapsed="false">
      <c r="A27" s="57"/>
      <c r="B27" s="48" t="s">
        <v>80</v>
      </c>
      <c r="C27" s="49" t="n">
        <f aca="false">SUM(C21:C26)</f>
        <v>17</v>
      </c>
      <c r="D27" s="50" t="s">
        <v>80</v>
      </c>
      <c r="E27" s="49" t="n">
        <f aca="false">SUM(E21:E26)</f>
        <v>16</v>
      </c>
      <c r="F27" s="50" t="s">
        <v>80</v>
      </c>
      <c r="G27" s="49" t="n">
        <f aca="false">SUM(G21:G26)</f>
        <v>8</v>
      </c>
      <c r="H27" s="50" t="s">
        <v>80</v>
      </c>
      <c r="I27" s="49" t="n">
        <f aca="false">SUM(I21:I26)</f>
        <v>0</v>
      </c>
      <c r="J27" s="36"/>
      <c r="L27" s="42"/>
    </row>
    <row r="28" customFormat="false" ht="28.35" hidden="false" customHeight="false" outlineLevel="0" collapsed="false">
      <c r="A28" s="56" t="s">
        <v>120</v>
      </c>
      <c r="B28" s="54" t="s">
        <v>84</v>
      </c>
      <c r="C28" s="1"/>
      <c r="D28" s="52" t="s">
        <v>121</v>
      </c>
      <c r="E28" s="64" t="n">
        <v>4</v>
      </c>
      <c r="F28" s="1"/>
      <c r="G28" s="53"/>
      <c r="H28" s="1"/>
      <c r="I28" s="53"/>
      <c r="J28" s="36"/>
      <c r="K28" s="43" t="s">
        <v>122</v>
      </c>
      <c r="L28" s="42" t="n">
        <v>4</v>
      </c>
      <c r="M28" s="13" t="s">
        <v>123</v>
      </c>
    </row>
    <row r="29" customFormat="false" ht="16.5" hidden="false" customHeight="false" outlineLevel="0" collapsed="false">
      <c r="A29" s="56"/>
      <c r="B29" s="14" t="s">
        <v>155</v>
      </c>
      <c r="C29" s="1"/>
      <c r="D29" s="1" t="s">
        <v>156</v>
      </c>
      <c r="E29" s="15" t="n">
        <v>4</v>
      </c>
      <c r="F29" s="1"/>
      <c r="G29" s="39"/>
      <c r="H29" s="1"/>
      <c r="I29" s="39"/>
      <c r="J29" s="36"/>
      <c r="K29" s="13" t="s">
        <v>122</v>
      </c>
      <c r="L29" s="46" t="n">
        <v>4</v>
      </c>
      <c r="M29" s="13" t="s">
        <v>123</v>
      </c>
    </row>
    <row r="30" customFormat="false" ht="16.5" hidden="false" customHeight="false" outlineLevel="0" collapsed="false">
      <c r="A30" s="56"/>
      <c r="C30" s="1"/>
      <c r="D30" s="38" t="s">
        <v>157</v>
      </c>
      <c r="E30" s="15" t="n">
        <v>4</v>
      </c>
      <c r="F30" s="1"/>
      <c r="G30" s="39"/>
      <c r="H30" s="1"/>
      <c r="I30" s="39"/>
      <c r="J30" s="36"/>
      <c r="K30" s="13" t="s">
        <v>122</v>
      </c>
      <c r="L30" s="46" t="n">
        <v>4</v>
      </c>
      <c r="M30" s="13" t="s">
        <v>123</v>
      </c>
    </row>
    <row r="31" customFormat="false" ht="14.25" hidden="false" customHeight="true" outlineLevel="0" collapsed="false">
      <c r="A31" s="56"/>
      <c r="C31" s="1"/>
      <c r="D31" s="14" t="s">
        <v>158</v>
      </c>
      <c r="E31" s="15" t="n">
        <v>4</v>
      </c>
      <c r="F31" s="1"/>
      <c r="G31" s="39"/>
      <c r="H31" s="1"/>
      <c r="I31" s="39"/>
      <c r="J31" s="36"/>
    </row>
    <row r="32" customFormat="false" ht="16.5" hidden="false" customHeight="false" outlineLevel="0" collapsed="false">
      <c r="A32" s="56"/>
      <c r="C32" s="1"/>
      <c r="D32" s="14" t="s">
        <v>128</v>
      </c>
      <c r="E32" s="15" t="n">
        <v>1</v>
      </c>
      <c r="F32" s="1"/>
      <c r="G32" s="39"/>
      <c r="H32" s="1"/>
      <c r="I32" s="39"/>
      <c r="J32" s="36"/>
      <c r="K32" s="65" t="s">
        <v>129</v>
      </c>
    </row>
    <row r="33" customFormat="false" ht="16.5" hidden="false" customHeight="false" outlineLevel="0" collapsed="false">
      <c r="A33" s="56"/>
      <c r="B33" s="38"/>
      <c r="C33" s="39"/>
      <c r="D33" s="66" t="s">
        <v>130</v>
      </c>
      <c r="F33" s="38"/>
      <c r="G33" s="39"/>
      <c r="I33" s="39"/>
      <c r="J33" s="36"/>
      <c r="K33" s="13" t="s">
        <v>131</v>
      </c>
      <c r="M33" s="13" t="s">
        <v>132</v>
      </c>
      <c r="N33" s="13" t="s">
        <v>133</v>
      </c>
    </row>
    <row r="34" customFormat="false" ht="16.5" hidden="false" customHeight="false" outlineLevel="0" collapsed="false">
      <c r="A34" s="67"/>
      <c r="B34" s="48" t="s">
        <v>80</v>
      </c>
      <c r="C34" s="49" t="n">
        <f aca="false">SUM(C28:C33)</f>
        <v>0</v>
      </c>
      <c r="D34" s="50" t="s">
        <v>80</v>
      </c>
      <c r="E34" s="49" t="n">
        <f aca="false">SUM(E28:E33)</f>
        <v>17</v>
      </c>
      <c r="F34" s="50" t="s">
        <v>80</v>
      </c>
      <c r="G34" s="58" t="n">
        <f aca="false">SUM(G28:G33)</f>
        <v>0</v>
      </c>
      <c r="H34" s="48" t="s">
        <v>80</v>
      </c>
      <c r="I34" s="49" t="n">
        <f aca="false">SUM(I28:I33)</f>
        <v>0</v>
      </c>
      <c r="J34" s="36"/>
      <c r="K34" s="13" t="s">
        <v>134</v>
      </c>
      <c r="L34" s="14" t="n">
        <v>4</v>
      </c>
      <c r="M34" s="13" t="s">
        <v>132</v>
      </c>
      <c r="N34" s="13" t="s">
        <v>135</v>
      </c>
    </row>
    <row r="35" customFormat="false" ht="28.35" hidden="false" customHeight="false" outlineLevel="0" collapsed="false">
      <c r="A35" s="68" t="s">
        <v>136</v>
      </c>
      <c r="B35" s="38"/>
      <c r="C35" s="39"/>
      <c r="E35" s="39"/>
      <c r="G35" s="39"/>
      <c r="I35" s="39"/>
      <c r="J35" s="36"/>
      <c r="K35" s="13" t="s">
        <v>137</v>
      </c>
      <c r="L35" s="14" t="n">
        <v>4</v>
      </c>
      <c r="M35" s="13" t="s">
        <v>132</v>
      </c>
      <c r="N35" s="13" t="s">
        <v>138</v>
      </c>
    </row>
    <row r="36" customFormat="false" ht="16.5" hidden="false" customHeight="false" outlineLevel="0" collapsed="false">
      <c r="A36" s="62"/>
      <c r="B36" s="38"/>
      <c r="C36" s="39"/>
      <c r="E36" s="39"/>
      <c r="G36" s="39"/>
      <c r="I36" s="39"/>
      <c r="J36" s="36"/>
      <c r="K36" s="13" t="s">
        <v>139</v>
      </c>
      <c r="L36" s="14" t="n">
        <v>4</v>
      </c>
      <c r="M36" s="13" t="s">
        <v>132</v>
      </c>
      <c r="N36" s="13" t="s">
        <v>140</v>
      </c>
    </row>
    <row r="37" customFormat="false" ht="16.5" hidden="false" customHeight="false" outlineLevel="0" collapsed="false">
      <c r="A37" s="62"/>
      <c r="B37" s="38"/>
      <c r="C37" s="39"/>
      <c r="E37" s="39"/>
      <c r="G37" s="69"/>
      <c r="I37" s="39"/>
      <c r="J37" s="36"/>
      <c r="K37" s="13" t="s">
        <v>141</v>
      </c>
      <c r="L37" s="14" t="n">
        <v>4</v>
      </c>
      <c r="M37" s="13" t="s">
        <v>132</v>
      </c>
      <c r="N37" s="13" t="s">
        <v>142</v>
      </c>
    </row>
    <row r="38" customFormat="false" ht="16.5" hidden="false" customHeight="false" outlineLevel="0" collapsed="false">
      <c r="A38" s="62"/>
      <c r="B38" s="38"/>
      <c r="C38" s="39"/>
      <c r="E38" s="39"/>
      <c r="G38" s="69"/>
      <c r="I38" s="39"/>
      <c r="J38" s="36"/>
      <c r="K38" s="13" t="s">
        <v>143</v>
      </c>
      <c r="L38" s="14" t="n">
        <v>4</v>
      </c>
      <c r="M38" s="13" t="s">
        <v>144</v>
      </c>
      <c r="N38" s="13" t="s">
        <v>145</v>
      </c>
    </row>
    <row r="39" customFormat="false" ht="16.5" hidden="false" customHeight="false" outlineLevel="0" collapsed="false">
      <c r="A39" s="62"/>
      <c r="B39" s="38"/>
      <c r="C39" s="39"/>
      <c r="E39" s="39"/>
      <c r="G39" s="69"/>
      <c r="I39" s="39"/>
      <c r="J39" s="36"/>
      <c r="K39" s="43" t="s">
        <v>27</v>
      </c>
      <c r="L39" s="14" t="n">
        <v>4</v>
      </c>
      <c r="M39" s="13" t="s">
        <v>146</v>
      </c>
      <c r="N39" s="13" t="s">
        <v>147</v>
      </c>
    </row>
    <row r="40" customFormat="false" ht="16.5" hidden="false" customHeight="false" outlineLevel="0" collapsed="false">
      <c r="A40" s="62"/>
      <c r="B40" s="38"/>
      <c r="C40" s="39"/>
      <c r="E40" s="39"/>
      <c r="G40" s="69"/>
      <c r="I40" s="39"/>
      <c r="J40" s="36"/>
      <c r="K40" s="43" t="s">
        <v>148</v>
      </c>
      <c r="M40" s="13" t="s">
        <v>149</v>
      </c>
      <c r="N40" s="13" t="s">
        <v>150</v>
      </c>
    </row>
    <row r="41" customFormat="false" ht="16.5" hidden="false" customHeight="false" outlineLevel="0" collapsed="false">
      <c r="A41" s="57"/>
      <c r="B41" s="48" t="s">
        <v>80</v>
      </c>
      <c r="C41" s="49" t="n">
        <f aca="false">SUM(C35:C40)</f>
        <v>0</v>
      </c>
      <c r="D41" s="50" t="s">
        <v>80</v>
      </c>
      <c r="E41" s="49" t="n">
        <f aca="false">SUM(E35:E40)</f>
        <v>0</v>
      </c>
      <c r="F41" s="50" t="s">
        <v>80</v>
      </c>
      <c r="G41" s="49" t="n">
        <f aca="false">SUM(G35:G40)</f>
        <v>0</v>
      </c>
      <c r="H41" s="50" t="s">
        <v>80</v>
      </c>
      <c r="I41" s="49" t="n">
        <f aca="false">SUM(I35:I40)</f>
        <v>0</v>
      </c>
      <c r="J41" s="36"/>
      <c r="K41" s="17"/>
    </row>
    <row r="42" customFormat="false" ht="16.5" hidden="false" customHeight="false" outlineLevel="0" collapsed="false">
      <c r="A42" s="70" t="s">
        <v>151</v>
      </c>
      <c r="B42" s="71"/>
      <c r="C42" s="63"/>
      <c r="D42" s="71"/>
      <c r="E42" s="63"/>
      <c r="F42" s="71"/>
      <c r="G42" s="63"/>
      <c r="H42" s="71"/>
      <c r="I42" s="63"/>
      <c r="J42" s="72"/>
      <c r="K42" s="65" t="s">
        <v>152</v>
      </c>
    </row>
    <row r="43" customFormat="false" ht="16.5" hidden="false" customHeight="false" outlineLevel="0" collapsed="false">
      <c r="J43" s="72"/>
    </row>
    <row r="44" customFormat="false" ht="15" hidden="false" customHeight="true" outlineLevel="0" collapsed="false">
      <c r="A44" s="73" t="s">
        <v>153</v>
      </c>
      <c r="B44" s="73"/>
      <c r="C44" s="73"/>
      <c r="D44" s="73"/>
      <c r="E44" s="73"/>
      <c r="F44" s="73"/>
      <c r="G44" s="73"/>
      <c r="H44" s="73"/>
      <c r="I44" s="73"/>
      <c r="J44" s="73"/>
    </row>
    <row r="45" customFormat="false" ht="13.8" hidden="false" customHeight="false" outlineLevel="0" collapsed="false">
      <c r="A45" s="73"/>
      <c r="B45" s="73"/>
      <c r="C45" s="73"/>
      <c r="D45" s="73"/>
      <c r="E45" s="73"/>
      <c r="F45" s="73"/>
      <c r="G45" s="73"/>
      <c r="H45" s="73"/>
      <c r="I45" s="73"/>
      <c r="J45" s="73"/>
    </row>
    <row r="46" customFormat="false" ht="13.8" hidden="false" customHeight="false" outlineLevel="0" collapsed="false">
      <c r="A46" s="73"/>
      <c r="B46" s="73"/>
      <c r="C46" s="73"/>
      <c r="D46" s="73"/>
      <c r="E46" s="73"/>
      <c r="F46" s="73"/>
      <c r="G46" s="73"/>
      <c r="H46" s="73"/>
      <c r="I46" s="73"/>
      <c r="J46" s="73"/>
      <c r="M46" s="17"/>
    </row>
    <row r="47" customFormat="false" ht="13.8" hidden="false" customHeight="false" outlineLevel="0" collapsed="false">
      <c r="A47" s="73"/>
      <c r="B47" s="73"/>
      <c r="C47" s="73"/>
      <c r="D47" s="73"/>
      <c r="E47" s="73"/>
      <c r="F47" s="73"/>
      <c r="G47" s="73"/>
      <c r="H47" s="73"/>
      <c r="I47" s="73"/>
      <c r="J47" s="73"/>
    </row>
    <row r="48" customFormat="false" ht="13.8" hidden="false" customHeight="false" outlineLevel="0" collapsed="false">
      <c r="A48" s="73"/>
      <c r="B48" s="73"/>
      <c r="C48" s="73"/>
      <c r="D48" s="73"/>
      <c r="E48" s="73"/>
      <c r="F48" s="73"/>
      <c r="G48" s="73"/>
      <c r="H48" s="73"/>
      <c r="I48" s="73"/>
      <c r="J48" s="73"/>
    </row>
    <row r="49" customFormat="false" ht="13.8" hidden="false" customHeight="false" outlineLevel="0" collapsed="false">
      <c r="A49" s="73"/>
      <c r="B49" s="73"/>
      <c r="C49" s="73"/>
      <c r="D49" s="73"/>
      <c r="E49" s="73"/>
      <c r="F49" s="73"/>
      <c r="G49" s="73"/>
      <c r="H49" s="73"/>
      <c r="I49" s="73"/>
      <c r="J49" s="73"/>
    </row>
    <row r="50" customFormat="false" ht="13.8" hidden="false" customHeight="false" outlineLevel="0" collapsed="false">
      <c r="A50" s="73"/>
      <c r="B50" s="73"/>
      <c r="C50" s="73"/>
      <c r="D50" s="73"/>
      <c r="E50" s="73"/>
      <c r="F50" s="73"/>
      <c r="G50" s="73"/>
      <c r="H50" s="73"/>
      <c r="I50" s="73"/>
      <c r="J50" s="73"/>
    </row>
    <row r="51" customFormat="false" ht="13.8" hidden="false" customHeight="false" outlineLevel="0" collapsed="false">
      <c r="A51" s="73"/>
      <c r="B51" s="73"/>
      <c r="C51" s="73"/>
      <c r="D51" s="73"/>
      <c r="E51" s="73"/>
      <c r="F51" s="73"/>
      <c r="G51" s="73"/>
      <c r="H51" s="73"/>
      <c r="I51" s="73"/>
      <c r="J51" s="73"/>
    </row>
    <row r="52" customFormat="false" ht="13.8" hidden="false" customHeight="false" outlineLevel="0" collapsed="false">
      <c r="A52" s="73"/>
      <c r="B52" s="73"/>
      <c r="C52" s="73"/>
      <c r="D52" s="73"/>
      <c r="E52" s="73"/>
      <c r="F52" s="73"/>
      <c r="G52" s="73"/>
      <c r="H52" s="73"/>
      <c r="I52" s="73"/>
      <c r="J52" s="73"/>
    </row>
    <row r="53" customFormat="false" ht="13.8" hidden="false" customHeight="false" outlineLevel="0" collapsed="false">
      <c r="A53" s="73"/>
      <c r="B53" s="73"/>
      <c r="C53" s="73"/>
      <c r="D53" s="73"/>
      <c r="E53" s="73"/>
      <c r="F53" s="73"/>
      <c r="G53" s="73"/>
      <c r="H53" s="73"/>
      <c r="I53" s="73"/>
      <c r="J53" s="73"/>
    </row>
    <row r="54" customFormat="false" ht="13.8" hidden="false" customHeight="false" outlineLevel="0" collapsed="false">
      <c r="A54" s="73"/>
      <c r="B54" s="73"/>
      <c r="C54" s="73"/>
      <c r="D54" s="73"/>
      <c r="E54" s="73"/>
      <c r="F54" s="73"/>
      <c r="G54" s="73"/>
      <c r="H54" s="73"/>
      <c r="I54" s="73"/>
      <c r="J54" s="73"/>
    </row>
    <row r="55" customFormat="false" ht="13.8" hidden="false" customHeight="false" outlineLevel="0" collapsed="false">
      <c r="A55" s="73"/>
      <c r="B55" s="73"/>
      <c r="C55" s="73"/>
      <c r="D55" s="73"/>
      <c r="E55" s="73"/>
      <c r="F55" s="73"/>
      <c r="G55" s="73"/>
      <c r="H55" s="73"/>
      <c r="I55" s="73"/>
      <c r="J55" s="73"/>
    </row>
    <row r="56" customFormat="false" ht="13.8" hidden="false" customHeight="false" outlineLevel="0" collapsed="false">
      <c r="A56" s="73"/>
      <c r="B56" s="73"/>
      <c r="C56" s="73"/>
      <c r="D56" s="73"/>
      <c r="E56" s="73"/>
      <c r="F56" s="73"/>
      <c r="G56" s="73"/>
      <c r="H56" s="73"/>
      <c r="I56" s="73"/>
      <c r="J56" s="73"/>
    </row>
    <row r="57" customFormat="false" ht="13.8" hidden="false" customHeight="false" outlineLevel="0" collapsed="false">
      <c r="A57" s="73"/>
      <c r="B57" s="73"/>
      <c r="C57" s="73"/>
      <c r="D57" s="73"/>
      <c r="E57" s="73"/>
      <c r="F57" s="73"/>
      <c r="G57" s="73"/>
      <c r="H57" s="73"/>
      <c r="I57" s="73"/>
      <c r="J57" s="73"/>
    </row>
    <row r="58" customFormat="false" ht="13.8" hidden="false" customHeight="false" outlineLevel="0" collapsed="false">
      <c r="A58" s="73"/>
      <c r="B58" s="73"/>
      <c r="C58" s="73"/>
      <c r="D58" s="73"/>
      <c r="E58" s="73"/>
      <c r="F58" s="73"/>
      <c r="G58" s="73"/>
      <c r="H58" s="73"/>
      <c r="I58" s="73"/>
      <c r="J58" s="73"/>
    </row>
    <row r="59" customFormat="false" ht="13.8" hidden="false" customHeight="false" outlineLevel="0" collapsed="false">
      <c r="A59" s="73"/>
      <c r="B59" s="73"/>
      <c r="C59" s="73"/>
      <c r="D59" s="73"/>
      <c r="E59" s="73"/>
      <c r="F59" s="73"/>
      <c r="G59" s="73"/>
      <c r="H59" s="73"/>
      <c r="I59" s="73"/>
      <c r="J59" s="73"/>
    </row>
  </sheetData>
  <mergeCells count="3">
    <mergeCell ref="A1:I2"/>
    <mergeCell ref="C3:D3"/>
    <mergeCell ref="A44:J59"/>
  </mergeCells>
  <hyperlinks>
    <hyperlink ref="K9" location="'Academic Planning Guide'!B9" display="EESC 2000"/>
    <hyperlink ref="K19" location="'Academic Planning Guide'!B10" display="MATH 3000"/>
    <hyperlink ref="K20" location="'Academic Planning Guide'!A11" display="MATH ELECTIVE (3000+)"/>
    <hyperlink ref="K24" location="'Academic Planning Guide'!A12" display="REQUIRED PHYSICS 1"/>
    <hyperlink ref="K26" location="'Academic Planning Guide'!A13" display="CAPSTONE"/>
    <hyperlink ref="K28" location="'Academic Planning Guide'!A14" display="UPPER DIVISION ELECTIVE"/>
    <hyperlink ref="K32" location="'Academic Planning Guide'!A17" display="NUPath not met by Major:"/>
    <hyperlink ref="K39" location="'Academic Planning Guide'!A16" display="Advanced Writing in the Disciplines"/>
    <hyperlink ref="K40" location="'Academic Planning Guide'!A15" display="Integration Experience - EX"/>
    <hyperlink ref="K42" location="'Academic Planning Guide'!A18" display="General Electives - if needed"/>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863</TotalTime>
  <Application>LibreOffice/25.2.6.2$Linux_X86_64 LibreOffice_project/520$Build-2</Application>
  <AppVersion>15.0000</AppVersion>
  <Company>Northeastern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2016-06-17T17:21:22Z</dcterms:created>
  <dc:creator>Richardson, Nathan</dc:creator>
  <dc:description/>
  <dc:language>en-US</dc:language>
  <cp:lastModifiedBy/>
  <dcterms:modified xsi:type="dcterms:W3CDTF">2026-02-10T01:33:16Z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0x010100E23E27E0FDA92948A564982B53198035</vt:lpwstr>
  </property>
  <property fmtid="{D5CDD505-2E9C-101B-9397-08002B2CF9AE}" pid="3" name="MediaServiceImageTags">
    <vt:lpwstr/>
  </property>
</Properties>
</file>