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northeastern.sharepoint.com/sites/COSAcademicAdvising/Shared Documents/General/Academic Plans/Mathematics/"/>
    </mc:Choice>
  </mc:AlternateContent>
  <xr:revisionPtr revIDLastSave="57" documentId="8_{316551B5-CF57-4027-B933-55DF61980569}" xr6:coauthVersionLast="47" xr6:coauthVersionMax="47" xr10:uidLastSave="{34015240-797A-4929-994C-6BEDCFCD5469}"/>
  <bookViews>
    <workbookView xWindow="57480" yWindow="-5490" windowWidth="38640" windowHeight="21240" activeTab="1" xr2:uid="{00000000-000D-0000-FFFF-FFFF00000000}"/>
  </bookViews>
  <sheets>
    <sheet name="Academic Planning Guide" sheetId="2" r:id="rId1"/>
    <sheet name="MATH (BS) Template 2024"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1" l="1"/>
  <c r="G41" i="1"/>
  <c r="E41" i="1"/>
  <c r="C41" i="1"/>
  <c r="I34" i="1"/>
  <c r="G34" i="1"/>
  <c r="E34" i="1"/>
  <c r="C34" i="1"/>
  <c r="I27" i="1"/>
  <c r="G27" i="1"/>
  <c r="E27" i="1"/>
  <c r="C27" i="1"/>
  <c r="I20" i="1"/>
  <c r="G20" i="1"/>
  <c r="E20" i="1"/>
  <c r="C20" i="1"/>
  <c r="I13" i="1"/>
  <c r="G13" i="1"/>
  <c r="E13" i="1"/>
  <c r="C13" i="1"/>
  <c r="E4" i="1" l="1"/>
  <c r="G4" i="1" s="1"/>
</calcChain>
</file>

<file path=xl/sharedStrings.xml><?xml version="1.0" encoding="utf-8"?>
<sst xmlns="http://schemas.openxmlformats.org/spreadsheetml/2006/main" count="195" uniqueCount="153">
  <si>
    <t>Mathematics Academic Planning Guide</t>
  </si>
  <si>
    <t>General Information</t>
  </si>
  <si>
    <t>Course substitution</t>
  </si>
  <si>
    <t>Course substitution are exceptional and must be approved by a faculty advisor.</t>
  </si>
  <si>
    <t>Reduced courseload</t>
  </si>
  <si>
    <r>
      <t xml:space="preserve">Students who need fewer than 12SH to meet all program requirements in their </t>
    </r>
    <r>
      <rPr>
        <b/>
        <sz val="11"/>
        <color theme="1"/>
        <rFont val="Century Gothic"/>
        <family val="2"/>
        <scheme val="minor"/>
      </rPr>
      <t>final</t>
    </r>
    <r>
      <rPr>
        <sz val="11"/>
        <color theme="1"/>
        <rFont val="Century Gothic"/>
        <family val="2"/>
        <scheme val="minor"/>
      </rPr>
      <t xml:space="preserve"> semester qualify for a reduced courseload and will be charged by the tuition.
Students taking only once class in any summer term  qualify for a reduced coursload. 
Students must apply for a reduced courseload via they portal before tuition can adjusted. </t>
    </r>
  </si>
  <si>
    <t>Residency requirement</t>
  </si>
  <si>
    <t>Students must complete a minimum of 64SH at Northeastern to receieve their bachelor degree.</t>
  </si>
  <si>
    <t>Major Specific Information</t>
  </si>
  <si>
    <t>Grade Requirement</t>
  </si>
  <si>
    <t>A grade of C or higher is required in all MATH courses level 3000 and below</t>
  </si>
  <si>
    <t>EESC2000 courses are restricted by major. Pick a section of the course that is open to your major as indicated under "Restrictions" in the class catalog.</t>
  </si>
  <si>
    <t>MATH 3000</t>
  </si>
  <si>
    <t>Math 3000 is a coop reflection course and is required for mathematics majors who complete a coop experience. If you do not complete a coop experience, this requirement can be waived by the faculty advisor. Note- MATH 4000 no longer exists.</t>
  </si>
  <si>
    <t>Mathematics Electives</t>
  </si>
  <si>
    <t>Only one directed study course can count towards this requirement</t>
  </si>
  <si>
    <t>Physics</t>
  </si>
  <si>
    <t>Students can take Physics: PHYS 1161 &amp; PHYS 1162, PHYS 1165 &amp; 1166 OR Physics for Engineering: PHYS 1151 &amp; PHYS 1152 &amp; PHYS 1153, PHYS 1155 &amp; PHYS 1156 &amp; PHYS 1157</t>
  </si>
  <si>
    <t>Capstone</t>
  </si>
  <si>
    <t xml:space="preserve"> You must have Junior status (64SH) to take this course</t>
  </si>
  <si>
    <t>Upper Division Elective</t>
  </si>
  <si>
    <t>Complete (3) general electives at 3000 level or above from any discipline.  
Note: Courses counting toward the Upper Division electives can not be used to count toward major requirements, but can be used for NU Path requirements.</t>
  </si>
  <si>
    <t>Integration Experience</t>
  </si>
  <si>
    <t>Can be met with:
Coop
Directed Study 
NU Path EX Course</t>
  </si>
  <si>
    <t>Advanced Writing in the Disciplines</t>
  </si>
  <si>
    <t>Requires Junior status (64SH). Students can take ENGW 3307 or ENGW 3315.</t>
  </si>
  <si>
    <t>NUPath not met by Major</t>
  </si>
  <si>
    <t>These are not automatically covered by your major requirements and will classes taken outside of your major.</t>
  </si>
  <si>
    <t>General electives</t>
  </si>
  <si>
    <t>General electives are courses you need to meet the minimum 128SH required for your major. They can be any classes you meet the min requirements for including additional courses related to your major. General electives can be used towards a minor or PlusOne courses as well</t>
  </si>
  <si>
    <t>PlusOne</t>
  </si>
  <si>
    <t>A PlusOne program allows you to double count up to 16SH towards both a B.S and M.S degree and offers the opportunity to earn both degrees in 5 years. 
As a Mathematics student you qualify for:
Applied Mathematics PlusOne
Talk to your academic advisor if interested in this opportunity</t>
  </si>
  <si>
    <t>NUPath Key</t>
  </si>
  <si>
    <t>Natural and Design World (ND)</t>
  </si>
  <si>
    <t>Creative Expression and Innovation (EI)</t>
  </si>
  <si>
    <t>Interpreting Culture (IC)</t>
  </si>
  <si>
    <t>Formal and Quantitative Reasoning (FQ)</t>
  </si>
  <si>
    <t>Societies and Institutions (SI)</t>
  </si>
  <si>
    <t>Analyzing Data (AD)</t>
  </si>
  <si>
    <t>Difference and Diversity (DD)</t>
  </si>
  <si>
    <t>Ethical Reasoning (ER)</t>
  </si>
  <si>
    <t>1st Year Writing (FY)</t>
  </si>
  <si>
    <t>Writing Intensive (WI)</t>
  </si>
  <si>
    <t xml:space="preserve"> Advanced Writing in the Disciplines  (WD)</t>
  </si>
  <si>
    <t>Capstone Experience (CE)</t>
  </si>
  <si>
    <t>Integrated Experience (EX)</t>
  </si>
  <si>
    <t>Proposed Academic Plan Mathematics - 128SH min</t>
  </si>
  <si>
    <t>Color Key</t>
  </si>
  <si>
    <t>Completed</t>
  </si>
  <si>
    <t>Name</t>
  </si>
  <si>
    <t>NUID</t>
  </si>
  <si>
    <t>In Progress</t>
  </si>
  <si>
    <t>Earned SH</t>
  </si>
  <si>
    <t>Planned SH</t>
  </si>
  <si>
    <t>Remaining SH</t>
  </si>
  <si>
    <t>Planned for</t>
  </si>
  <si>
    <t>Cannot be moved</t>
  </si>
  <si>
    <t>Fall</t>
  </si>
  <si>
    <t>Spring</t>
  </si>
  <si>
    <t>Summer 1</t>
  </si>
  <si>
    <t>Summer 2</t>
  </si>
  <si>
    <t>2023-2024</t>
  </si>
  <si>
    <t>Major Requirements:</t>
  </si>
  <si>
    <t>SH</t>
  </si>
  <si>
    <t>Course name</t>
  </si>
  <si>
    <t>NUPath met</t>
  </si>
  <si>
    <t>INSC 1000</t>
  </si>
  <si>
    <t>Science at Northeastern</t>
  </si>
  <si>
    <t>EESC 2000</t>
  </si>
  <si>
    <t>Professional Development for Co-op</t>
  </si>
  <si>
    <t>MATH 1365</t>
  </si>
  <si>
    <t>Introduction to Mathematical Reasoning</t>
  </si>
  <si>
    <t>MATH 1341</t>
  </si>
  <si>
    <t>Calculus 1 for Science &amp; Engineering</t>
  </si>
  <si>
    <t>FQ</t>
  </si>
  <si>
    <t>MATH 1342</t>
  </si>
  <si>
    <t>Calculus 2 for Science &amp; Engineering</t>
  </si>
  <si>
    <t>Total</t>
  </si>
  <si>
    <t>MATH 2321</t>
  </si>
  <si>
    <t>Calculus 3 for Science &amp; Engineering</t>
  </si>
  <si>
    <t>2024-2025</t>
  </si>
  <si>
    <t>MATH 2331</t>
  </si>
  <si>
    <t>Linear Algebra</t>
  </si>
  <si>
    <t>MATH 2341</t>
  </si>
  <si>
    <t>Differential Equations and Linear Algebra</t>
  </si>
  <si>
    <t>MATH 3081</t>
  </si>
  <si>
    <t>Probability &amp; Statistics</t>
  </si>
  <si>
    <t>AD</t>
  </si>
  <si>
    <t>MATH 3150</t>
  </si>
  <si>
    <t>Real Analysis</t>
  </si>
  <si>
    <t>WI</t>
  </si>
  <si>
    <t>MATH 3175</t>
  </si>
  <si>
    <t>Group Theory</t>
  </si>
  <si>
    <t>Coop Reflection</t>
  </si>
  <si>
    <t>Complete a MATH course above MATH 3000</t>
  </si>
  <si>
    <t>2025-2026</t>
  </si>
  <si>
    <t>REQUIRED PHYSICS 1</t>
  </si>
  <si>
    <t>Choose a lecture &amp; lab from selections on degree audit</t>
  </si>
  <si>
    <t>ND, AD</t>
  </si>
  <si>
    <t>REQUIRED PHYSICS 2</t>
  </si>
  <si>
    <t>CAPSTONE</t>
  </si>
  <si>
    <t>Choose from selections on degree audit</t>
  </si>
  <si>
    <t>WI, CE</t>
  </si>
  <si>
    <t>2026-2027</t>
  </si>
  <si>
    <t>UPPER DIVISION ELECTIVE</t>
  </si>
  <si>
    <t>Complete general elective at 3000 level or above</t>
  </si>
  <si>
    <t>NUPath not met by Major:</t>
  </si>
  <si>
    <t>Creative Expression - EI</t>
  </si>
  <si>
    <t>Choose from NUpath list</t>
  </si>
  <si>
    <t>Interpreting Culture - IC</t>
  </si>
  <si>
    <t>2027-2028</t>
  </si>
  <si>
    <t>Societies &amp; Institutions -SI</t>
  </si>
  <si>
    <t>Difference &amp; Diversity - DD</t>
  </si>
  <si>
    <t>Ethical Reasoning - ER</t>
  </si>
  <si>
    <t>ENGW 1111 - WF</t>
  </si>
  <si>
    <t>First Year Writing</t>
  </si>
  <si>
    <t>ENGW 3307 (recommended) or 3315</t>
  </si>
  <si>
    <t>Integration Experience - EX</t>
  </si>
  <si>
    <t>Typically Coop</t>
  </si>
  <si>
    <t xml:space="preserve">***This is a sample graduation plan and may vary according to course availability. </t>
  </si>
  <si>
    <t>General Electives - if needed</t>
  </si>
  <si>
    <t xml:space="preserve">Meeting Notes: </t>
  </si>
  <si>
    <t>MATH ELECTIVE (3000+)</t>
  </si>
  <si>
    <t>EI</t>
  </si>
  <si>
    <t>IC</t>
  </si>
  <si>
    <t>SI</t>
  </si>
  <si>
    <t>DD</t>
  </si>
  <si>
    <t>ER</t>
  </si>
  <si>
    <t>WF</t>
  </si>
  <si>
    <t>WD</t>
  </si>
  <si>
    <t>EX</t>
  </si>
  <si>
    <t>Students will be assigned a pattern of attendance (POA). Students are required to remain on the assigned POA and must complete EESC2000 in the semester immediately preceding their first co-op. Failure to do so may delay co-op and limit the number of co-ops that can be completed. Back-to-back co-ops or graduating while on co-op is not permitted. Co-op is not required.</t>
  </si>
  <si>
    <t>Co-op</t>
  </si>
  <si>
    <t>Intro to Co-op - EESC2000</t>
  </si>
  <si>
    <t>COOP</t>
  </si>
  <si>
    <t>MATH2331</t>
  </si>
  <si>
    <t>U.D.E. #1 OF 3 (CIVE3464)</t>
  </si>
  <si>
    <t>PHYS115/56/57</t>
  </si>
  <si>
    <t>MATH3000</t>
  </si>
  <si>
    <t>MATH3175</t>
  </si>
  <si>
    <t>MATH ELECTIVE #2</t>
  </si>
  <si>
    <t>MATH3150</t>
  </si>
  <si>
    <t>U.D.E. #2 OF 3</t>
  </si>
  <si>
    <t>ENGW3315</t>
  </si>
  <si>
    <t>U.D.E. #3 OF 3</t>
  </si>
  <si>
    <t>MATH CAPSTONE</t>
  </si>
  <si>
    <t>MATH ELECTIVE #3</t>
  </si>
  <si>
    <t>MATH ELECTIVE #4</t>
  </si>
  <si>
    <t>MATH3081</t>
  </si>
  <si>
    <t>MATH1365</t>
  </si>
  <si>
    <t>NUPATH (EI)</t>
  </si>
  <si>
    <t>MATH ELECTIVE #1 OF 4</t>
  </si>
  <si>
    <t>GRADUATE APRIL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</si>
</sst>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7" x14ac:knownFonts="1">
    <font>
      <sz val="11"/>
      <color theme="1"/>
      <name val="Century Gothic"/>
      <family val="2"/>
      <scheme val="minor"/>
    </font>
    <font>
      <sz val="11"/>
      <name val="Century Gothic"/>
      <family val="2"/>
      <scheme val="minor"/>
    </font>
    <font>
      <b/>
      <sz val="11"/>
      <name val="Century Gothic"/>
      <family val="2"/>
      <scheme val="minor"/>
    </font>
    <font>
      <b/>
      <sz val="12"/>
      <name val="Calibri"/>
      <family val="2"/>
    </font>
    <font>
      <sz val="8"/>
      <name val="Century Gothic"/>
      <family val="2"/>
      <scheme val="minor"/>
    </font>
    <font>
      <sz val="10"/>
      <name val="Century Gothic"/>
      <family val="2"/>
      <scheme val="minor"/>
    </font>
    <font>
      <b/>
      <sz val="10"/>
      <name val="Century Gothic"/>
      <family val="2"/>
      <scheme val="minor"/>
    </font>
    <font>
      <sz val="11"/>
      <color rgb="FFFF0000"/>
      <name val="Century Gothic"/>
      <family val="2"/>
      <scheme val="minor"/>
    </font>
    <font>
      <b/>
      <sz val="11"/>
      <color theme="1"/>
      <name val="Century Gothic"/>
      <family val="2"/>
      <scheme val="minor"/>
    </font>
    <font>
      <sz val="11"/>
      <color rgb="FF000000"/>
      <name val="Century Gothic"/>
      <family val="2"/>
      <scheme val="minor"/>
    </font>
    <font>
      <b/>
      <sz val="14"/>
      <color rgb="FF000000"/>
      <name val="Century Gothic"/>
      <family val="2"/>
      <scheme val="minor"/>
    </font>
    <font>
      <sz val="14"/>
      <color rgb="FF000000"/>
      <name val="Century Gothic"/>
      <family val="2"/>
      <scheme val="minor"/>
    </font>
    <font>
      <b/>
      <sz val="11"/>
      <color rgb="FF000000"/>
      <name val="Century Gothic"/>
      <family val="2"/>
      <scheme val="minor"/>
    </font>
    <font>
      <b/>
      <sz val="12"/>
      <color rgb="FF000000"/>
      <name val="Century Gothic"/>
      <family val="2"/>
      <scheme val="minor"/>
    </font>
    <font>
      <b/>
      <sz val="16"/>
      <color theme="1"/>
      <name val="Century Gothic"/>
      <family val="2"/>
      <scheme val="minor"/>
    </font>
    <font>
      <u/>
      <sz val="11"/>
      <color rgb="FF0070C0"/>
      <name val="Century Gothic"/>
      <family val="2"/>
      <scheme val="minor"/>
    </font>
    <font>
      <b/>
      <u/>
      <sz val="11"/>
      <color rgb="FF0070C0"/>
      <name val="Century Gothic"/>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79998168889431442"/>
        <bgColor rgb="FF000000"/>
      </patternFill>
    </fill>
    <fill>
      <patternFill patternType="solid">
        <fgColor theme="7" tint="0.59999389629810485"/>
        <bgColor rgb="FF000000"/>
      </patternFill>
    </fill>
    <fill>
      <patternFill patternType="solid">
        <fgColor theme="2" tint="-9.9978637043366805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bottom/>
      <diagonal/>
    </border>
    <border>
      <left/>
      <right style="thin">
        <color rgb="FF000000"/>
      </right>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rgb="FF000000"/>
      </right>
      <top style="medium">
        <color indexed="64"/>
      </top>
      <bottom/>
      <diagonal/>
    </border>
    <border>
      <left/>
      <right/>
      <top style="medium">
        <color indexed="64"/>
      </top>
      <bottom/>
      <diagonal/>
    </border>
    <border>
      <left/>
      <right style="thin">
        <color indexed="64"/>
      </right>
      <top style="medium">
        <color indexed="64"/>
      </top>
      <bottom/>
      <diagonal/>
    </border>
    <border>
      <left/>
      <right style="thin">
        <color rgb="FF000000"/>
      </right>
      <top style="medium">
        <color indexed="64"/>
      </top>
      <bottom/>
      <diagonal/>
    </border>
    <border>
      <left style="thin">
        <color indexed="64"/>
      </left>
      <right/>
      <top/>
      <bottom style="medium">
        <color indexed="64"/>
      </bottom>
      <diagonal/>
    </border>
    <border>
      <left style="thin">
        <color indexed="64"/>
      </left>
      <right/>
      <top style="medium">
        <color indexed="64"/>
      </top>
      <bottom/>
      <diagonal/>
    </border>
  </borders>
  <cellStyleXfs count="5">
    <xf numFmtId="0" fontId="0" fillId="0" borderId="0"/>
    <xf numFmtId="0" fontId="15" fillId="0" borderId="0" applyNumberFormat="0" applyFill="0" applyBorder="0" applyAlignment="0" applyProtection="0"/>
    <xf numFmtId="0" fontId="1" fillId="2" borderId="0">
      <alignment vertical="center"/>
    </xf>
    <xf numFmtId="0" fontId="1" fillId="3" borderId="0">
      <alignment vertical="center"/>
    </xf>
    <xf numFmtId="0" fontId="1" fillId="8" borderId="0">
      <alignment vertical="center"/>
    </xf>
  </cellStyleXfs>
  <cellXfs count="82">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center" vertical="center"/>
    </xf>
    <xf numFmtId="0" fontId="1" fillId="0" borderId="0" xfId="0" applyFont="1" applyAlignment="1">
      <alignment horizontal="center" vertical="center"/>
    </xf>
    <xf numFmtId="0" fontId="2" fillId="0" borderId="2" xfId="0" applyFont="1" applyBorder="1" applyAlignment="1">
      <alignment horizontal="center" vertical="center"/>
    </xf>
    <xf numFmtId="0" fontId="2" fillId="0" borderId="5" xfId="0" applyFont="1" applyBorder="1" applyAlignment="1">
      <alignment horizontal="center" vertical="center"/>
    </xf>
    <xf numFmtId="0" fontId="1" fillId="0" borderId="6" xfId="0" applyFont="1" applyBorder="1" applyAlignment="1">
      <alignment horizontal="right" vertical="center"/>
    </xf>
    <xf numFmtId="0" fontId="6" fillId="0" borderId="0" xfId="0" applyFont="1" applyAlignment="1">
      <alignment vertical="center"/>
    </xf>
    <xf numFmtId="0" fontId="5" fillId="0" borderId="0" xfId="0" applyFont="1" applyAlignment="1">
      <alignment vertical="center"/>
    </xf>
    <xf numFmtId="0" fontId="1" fillId="0" borderId="0" xfId="0" applyFont="1" applyAlignment="1">
      <alignment horizontal="right" vertical="center"/>
    </xf>
    <xf numFmtId="0" fontId="2" fillId="0" borderId="3" xfId="0" applyFont="1" applyBorder="1" applyAlignment="1">
      <alignment horizontal="center" vertical="center" wrapText="1"/>
    </xf>
    <xf numFmtId="0" fontId="2" fillId="0" borderId="12" xfId="0" applyFont="1" applyBorder="1" applyAlignment="1">
      <alignment horizontal="center" vertical="center" wrapText="1"/>
    </xf>
    <xf numFmtId="0" fontId="1" fillId="0" borderId="0" xfId="0" applyFont="1" applyAlignment="1">
      <alignment horizontal="left" vertical="center"/>
    </xf>
    <xf numFmtId="0" fontId="2" fillId="0" borderId="14" xfId="0" applyFont="1" applyBorder="1" applyAlignment="1">
      <alignment horizontal="left" vertical="center"/>
    </xf>
    <xf numFmtId="0" fontId="1" fillId="0" borderId="12" xfId="0" applyFont="1" applyBorder="1" applyAlignment="1">
      <alignment horizontal="left" vertical="center"/>
    </xf>
    <xf numFmtId="0" fontId="5" fillId="0" borderId="0" xfId="0" applyFont="1" applyAlignment="1">
      <alignment horizontal="left" vertical="center"/>
    </xf>
    <xf numFmtId="0" fontId="2" fillId="0" borderId="13" xfId="0" applyFont="1" applyBorder="1" applyAlignment="1">
      <alignment horizontal="right" vertical="center"/>
    </xf>
    <xf numFmtId="0" fontId="5" fillId="0" borderId="0" xfId="0" applyFont="1" applyAlignment="1">
      <alignment horizontal="right" vertical="center"/>
    </xf>
    <xf numFmtId="0" fontId="5" fillId="0" borderId="6" xfId="0" applyFont="1" applyBorder="1" applyAlignment="1">
      <alignment horizontal="right" vertical="center"/>
    </xf>
    <xf numFmtId="0" fontId="11" fillId="0" borderId="0" xfId="0" applyFont="1" applyAlignment="1">
      <alignment horizontal="left" vertical="center"/>
    </xf>
    <xf numFmtId="0" fontId="13" fillId="0" borderId="0" xfId="0" applyFont="1" applyAlignment="1">
      <alignment horizontal="left" vertical="center"/>
    </xf>
    <xf numFmtId="0" fontId="13" fillId="0" borderId="0" xfId="0" applyFont="1" applyAlignment="1">
      <alignment horizontal="right" vertical="center"/>
    </xf>
    <xf numFmtId="0" fontId="0" fillId="0" borderId="0" xfId="0" applyAlignment="1">
      <alignment wrapText="1"/>
    </xf>
    <xf numFmtId="0" fontId="12" fillId="0" borderId="0" xfId="0" applyFont="1" applyAlignment="1">
      <alignment vertical="top" wrapText="1"/>
    </xf>
    <xf numFmtId="0" fontId="1" fillId="0" borderId="0" xfId="0" applyFont="1" applyAlignment="1">
      <alignment horizontal="left" vertical="top" wrapText="1"/>
    </xf>
    <xf numFmtId="0" fontId="1" fillId="0" borderId="0" xfId="0" applyFont="1" applyAlignment="1">
      <alignment horizontal="right" vertical="center" wrapText="1"/>
    </xf>
    <xf numFmtId="0" fontId="15" fillId="0" borderId="0" xfId="1" applyFill="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2" fillId="0" borderId="9" xfId="0" applyFont="1" applyBorder="1" applyAlignment="1">
      <alignment horizontal="center" vertical="center" wrapText="1"/>
    </xf>
    <xf numFmtId="0" fontId="1" fillId="0" borderId="10" xfId="0" applyFont="1" applyBorder="1" applyAlignment="1">
      <alignment horizontal="right" vertical="center"/>
    </xf>
    <xf numFmtId="0" fontId="2" fillId="0" borderId="5" xfId="0" applyFont="1" applyBorder="1" applyAlignment="1">
      <alignment horizontal="center" vertical="center" wrapText="1"/>
    </xf>
    <xf numFmtId="0" fontId="2" fillId="0" borderId="0" xfId="0" applyFont="1" applyAlignment="1">
      <alignment horizontal="left" vertical="center"/>
    </xf>
    <xf numFmtId="0" fontId="2" fillId="0" borderId="11" xfId="0" applyFont="1" applyBorder="1" applyAlignment="1">
      <alignment horizontal="center" vertical="center" wrapText="1"/>
    </xf>
    <xf numFmtId="0" fontId="2" fillId="0" borderId="15" xfId="0" applyFont="1" applyBorder="1" applyAlignment="1">
      <alignment horizontal="center" vertical="center"/>
    </xf>
    <xf numFmtId="0" fontId="2" fillId="0" borderId="16" xfId="0" applyFont="1" applyBorder="1" applyAlignment="1">
      <alignment horizontal="left" vertical="center"/>
    </xf>
    <xf numFmtId="0" fontId="2" fillId="0" borderId="17" xfId="0" applyFont="1" applyBorder="1" applyAlignment="1">
      <alignment horizontal="right" vertical="center"/>
    </xf>
    <xf numFmtId="0" fontId="2" fillId="0" borderId="18" xfId="0" applyFont="1" applyBorder="1" applyAlignment="1">
      <alignment horizontal="left" vertical="center"/>
    </xf>
    <xf numFmtId="0" fontId="2" fillId="0" borderId="19" xfId="0" applyFont="1" applyBorder="1" applyAlignment="1">
      <alignment horizontal="center" vertical="center" wrapText="1"/>
    </xf>
    <xf numFmtId="0" fontId="1" fillId="0" borderId="20" xfId="0" applyFont="1" applyBorder="1" applyAlignment="1">
      <alignment horizontal="left" vertical="center"/>
    </xf>
    <xf numFmtId="0" fontId="1" fillId="0" borderId="21" xfId="0" applyFont="1" applyBorder="1" applyAlignment="1">
      <alignment horizontal="right" vertical="center"/>
    </xf>
    <xf numFmtId="0" fontId="1" fillId="0" borderId="22" xfId="0" applyFont="1" applyBorder="1" applyAlignment="1">
      <alignment horizontal="right" vertical="center"/>
    </xf>
    <xf numFmtId="0" fontId="2" fillId="0" borderId="23" xfId="0" applyFont="1" applyBorder="1" applyAlignment="1">
      <alignment horizontal="center" vertical="center" wrapText="1"/>
    </xf>
    <xf numFmtId="0" fontId="2" fillId="0" borderId="18" xfId="0" applyFont="1" applyBorder="1" applyAlignment="1">
      <alignment horizontal="right" vertical="center"/>
    </xf>
    <xf numFmtId="0" fontId="2" fillId="0" borderId="24" xfId="0" applyFont="1" applyBorder="1" applyAlignment="1">
      <alignment horizontal="center" vertical="center" wrapText="1"/>
    </xf>
    <xf numFmtId="0" fontId="1" fillId="0" borderId="24" xfId="0" applyFont="1" applyBorder="1" applyAlignment="1">
      <alignment horizontal="left" vertical="center"/>
    </xf>
    <xf numFmtId="0" fontId="1" fillId="0" borderId="20" xfId="0" applyFont="1" applyBorder="1" applyAlignment="1">
      <alignment horizontal="right" vertical="center"/>
    </xf>
    <xf numFmtId="0" fontId="12" fillId="0" borderId="0" xfId="0" applyFont="1" applyAlignment="1">
      <alignment horizontal="right" vertical="center"/>
    </xf>
    <xf numFmtId="0" fontId="4" fillId="0" borderId="13" xfId="0" applyFont="1" applyBorder="1" applyAlignment="1">
      <alignment horizontal="right" vertical="center"/>
    </xf>
    <xf numFmtId="0" fontId="0" fillId="4" borderId="1" xfId="0" applyFill="1" applyBorder="1" applyAlignment="1">
      <alignment wrapText="1"/>
    </xf>
    <xf numFmtId="0" fontId="8" fillId="4" borderId="1" xfId="0" applyFont="1" applyFill="1" applyBorder="1"/>
    <xf numFmtId="0" fontId="7" fillId="0" borderId="0" xfId="0" applyFont="1" applyAlignment="1">
      <alignment vertical="center"/>
    </xf>
    <xf numFmtId="0" fontId="12" fillId="6" borderId="1" xfId="0" applyFont="1" applyFill="1" applyBorder="1" applyAlignment="1">
      <alignment horizontal="right" vertical="center"/>
    </xf>
    <xf numFmtId="0" fontId="12" fillId="7" borderId="1" xfId="0" applyFont="1" applyFill="1" applyBorder="1" applyAlignment="1">
      <alignment horizontal="right" vertical="center"/>
    </xf>
    <xf numFmtId="0" fontId="10" fillId="5" borderId="0" xfId="0" applyFont="1" applyFill="1" applyAlignment="1">
      <alignment horizontal="center" vertical="center"/>
    </xf>
    <xf numFmtId="0" fontId="10" fillId="5" borderId="7" xfId="0" applyFont="1" applyFill="1" applyBorder="1" applyAlignment="1">
      <alignment vertical="center"/>
    </xf>
    <xf numFmtId="164" fontId="10" fillId="5" borderId="0" xfId="0" applyNumberFormat="1" applyFont="1" applyFill="1" applyAlignment="1">
      <alignment horizontal="left" vertical="center"/>
    </xf>
    <xf numFmtId="0" fontId="1" fillId="0" borderId="0" xfId="0" applyFont="1" applyAlignment="1">
      <alignment horizontal="left"/>
    </xf>
    <xf numFmtId="0" fontId="1" fillId="0" borderId="0" xfId="0" applyFont="1" applyAlignment="1">
      <alignment horizontal="left" vertical="center" wrapText="1"/>
    </xf>
    <xf numFmtId="0" fontId="2" fillId="0" borderId="0" xfId="0" applyFont="1" applyAlignment="1">
      <alignment horizontal="left"/>
    </xf>
    <xf numFmtId="0" fontId="1" fillId="8" borderId="0" xfId="0" applyFont="1" applyFill="1" applyAlignment="1">
      <alignment vertical="center"/>
    </xf>
    <xf numFmtId="0" fontId="12" fillId="0" borderId="0" xfId="0" applyFont="1" applyAlignment="1">
      <alignment horizontal="left" vertical="top" wrapText="1"/>
    </xf>
    <xf numFmtId="0" fontId="10" fillId="0" borderId="0" xfId="0" applyFont="1" applyAlignment="1">
      <alignment horizontal="center" vertical="center"/>
    </xf>
    <xf numFmtId="0" fontId="15" fillId="0" borderId="0" xfId="1" applyAlignment="1">
      <alignment vertical="center"/>
    </xf>
    <xf numFmtId="0" fontId="15" fillId="0" borderId="0" xfId="1"/>
    <xf numFmtId="0" fontId="15" fillId="0" borderId="0" xfId="1" applyFill="1"/>
    <xf numFmtId="0" fontId="16" fillId="0" borderId="0" xfId="1" applyFont="1" applyFill="1" applyBorder="1" applyAlignment="1">
      <alignment vertical="center"/>
    </xf>
    <xf numFmtId="0" fontId="9" fillId="4" borderId="12" xfId="0" applyFont="1" applyFill="1" applyBorder="1" applyAlignment="1">
      <alignment horizontal="left" vertical="top" wrapText="1"/>
    </xf>
    <xf numFmtId="0" fontId="9" fillId="4" borderId="6" xfId="0" applyFont="1" applyFill="1" applyBorder="1" applyAlignment="1">
      <alignment horizontal="left" vertical="top" wrapText="1"/>
    </xf>
    <xf numFmtId="0" fontId="8" fillId="5" borderId="14" xfId="0" applyFont="1" applyFill="1" applyBorder="1" applyAlignment="1">
      <alignment horizontal="center"/>
    </xf>
    <xf numFmtId="0" fontId="8" fillId="5" borderId="13" xfId="0" applyFont="1" applyFill="1" applyBorder="1" applyAlignment="1">
      <alignment horizontal="center"/>
    </xf>
    <xf numFmtId="0" fontId="14" fillId="0" borderId="7" xfId="0" applyFont="1" applyBorder="1" applyAlignment="1">
      <alignment horizontal="center"/>
    </xf>
    <xf numFmtId="0" fontId="8" fillId="5" borderId="3" xfId="0" applyFont="1" applyFill="1" applyBorder="1" applyAlignment="1">
      <alignment horizontal="center"/>
    </xf>
    <xf numFmtId="0" fontId="8" fillId="5" borderId="4" xfId="0" applyFont="1" applyFill="1" applyBorder="1" applyAlignment="1">
      <alignment horizontal="center"/>
    </xf>
    <xf numFmtId="0" fontId="9" fillId="4" borderId="11" xfId="0" applyFont="1" applyFill="1" applyBorder="1" applyAlignment="1">
      <alignment horizontal="left" vertical="top" wrapText="1"/>
    </xf>
    <xf numFmtId="0" fontId="9" fillId="4" borderId="8" xfId="0" applyFont="1" applyFill="1" applyBorder="1" applyAlignment="1">
      <alignment horizontal="left" vertical="top" wrapText="1"/>
    </xf>
    <xf numFmtId="0" fontId="12" fillId="0" borderId="0" xfId="0" applyFont="1" applyAlignment="1">
      <alignment horizontal="left" vertical="top" wrapText="1"/>
    </xf>
    <xf numFmtId="0" fontId="10" fillId="5" borderId="7" xfId="0" applyFont="1" applyFill="1" applyBorder="1" applyAlignment="1">
      <alignment horizontal="left" vertical="center"/>
    </xf>
    <xf numFmtId="0" fontId="10" fillId="0" borderId="0" xfId="0" applyFont="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cellXfs>
  <cellStyles count="5">
    <cellStyle name="Completed" xfId="2" xr:uid="{898D4845-60FA-47E0-9019-984B3216886F}"/>
    <cellStyle name="Hyperlink" xfId="1" builtinId="8" customBuiltin="1"/>
    <cellStyle name="In Progress" xfId="3" xr:uid="{15EEB385-4458-4F4F-88B8-D91FFA7AE50D}"/>
    <cellStyle name="Normal" xfId="0" builtinId="0"/>
    <cellStyle name="Planned for" xfId="4" xr:uid="{BCF999EC-63DB-496D-802B-BD7B753282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
  <sheetViews>
    <sheetView workbookViewId="0">
      <selection activeCell="A17" sqref="A17"/>
    </sheetView>
  </sheetViews>
  <sheetFormatPr defaultRowHeight="16.5" x14ac:dyDescent="0.3"/>
  <cols>
    <col min="1" max="1" width="31.75" customWidth="1"/>
    <col min="2" max="2" width="78.375" style="23" customWidth="1"/>
    <col min="3" max="3" width="13" customWidth="1"/>
  </cols>
  <sheetData>
    <row r="1" spans="1:6" ht="20.25" x14ac:dyDescent="0.3">
      <c r="A1" s="72" t="s">
        <v>0</v>
      </c>
      <c r="B1" s="72"/>
    </row>
    <row r="2" spans="1:6" x14ac:dyDescent="0.3">
      <c r="A2" s="70" t="s">
        <v>1</v>
      </c>
      <c r="B2" s="71"/>
    </row>
    <row r="3" spans="1:6" ht="27" customHeight="1" x14ac:dyDescent="0.3">
      <c r="A3" s="51" t="s">
        <v>2</v>
      </c>
      <c r="B3" s="50" t="s">
        <v>3</v>
      </c>
    </row>
    <row r="4" spans="1:6" ht="85.5" customHeight="1" x14ac:dyDescent="0.3">
      <c r="A4" s="51" t="s">
        <v>4</v>
      </c>
      <c r="B4" s="50" t="s">
        <v>5</v>
      </c>
    </row>
    <row r="5" spans="1:6" ht="82.5" x14ac:dyDescent="0.3">
      <c r="A5" s="51" t="s">
        <v>132</v>
      </c>
      <c r="B5" s="50" t="s">
        <v>131</v>
      </c>
    </row>
    <row r="6" spans="1:6" ht="40.5" customHeight="1" x14ac:dyDescent="0.3">
      <c r="A6" s="51" t="s">
        <v>6</v>
      </c>
      <c r="B6" s="50" t="s">
        <v>7</v>
      </c>
    </row>
    <row r="7" spans="1:6" x14ac:dyDescent="0.3">
      <c r="A7" s="70" t="s">
        <v>8</v>
      </c>
      <c r="B7" s="71"/>
      <c r="C7" s="24"/>
      <c r="D7" s="24"/>
      <c r="E7" s="24"/>
      <c r="F7" s="24"/>
    </row>
    <row r="8" spans="1:6" ht="21.75" customHeight="1" x14ac:dyDescent="0.3">
      <c r="A8" s="51" t="s">
        <v>9</v>
      </c>
      <c r="B8" s="50" t="s">
        <v>10</v>
      </c>
      <c r="C8" s="24"/>
      <c r="D8" s="24"/>
      <c r="E8" s="24"/>
      <c r="F8" s="24"/>
    </row>
    <row r="9" spans="1:6" ht="33" x14ac:dyDescent="0.3">
      <c r="A9" s="51" t="s">
        <v>133</v>
      </c>
      <c r="B9" s="50" t="s">
        <v>11</v>
      </c>
      <c r="C9" s="24"/>
      <c r="D9" s="24"/>
      <c r="E9" s="24"/>
      <c r="F9" s="24"/>
    </row>
    <row r="10" spans="1:6" ht="66" x14ac:dyDescent="0.3">
      <c r="A10" s="51" t="s">
        <v>12</v>
      </c>
      <c r="B10" s="50" t="s">
        <v>13</v>
      </c>
      <c r="C10" s="24"/>
      <c r="D10" s="24"/>
      <c r="E10" s="24"/>
      <c r="F10" s="24"/>
    </row>
    <row r="11" spans="1:6" ht="24" customHeight="1" x14ac:dyDescent="0.3">
      <c r="A11" s="51" t="s">
        <v>14</v>
      </c>
      <c r="B11" s="50" t="s">
        <v>15</v>
      </c>
      <c r="C11" s="24"/>
      <c r="D11" s="24"/>
      <c r="E11" s="24"/>
      <c r="F11" s="24"/>
    </row>
    <row r="12" spans="1:6" ht="33" x14ac:dyDescent="0.3">
      <c r="A12" s="51" t="s">
        <v>16</v>
      </c>
      <c r="B12" s="50" t="s">
        <v>17</v>
      </c>
      <c r="C12" s="24"/>
      <c r="D12" s="24"/>
      <c r="E12" s="24"/>
      <c r="F12" s="24"/>
    </row>
    <row r="13" spans="1:6" x14ac:dyDescent="0.3">
      <c r="A13" s="51" t="s">
        <v>18</v>
      </c>
      <c r="B13" s="50" t="s">
        <v>19</v>
      </c>
      <c r="C13" s="24"/>
      <c r="D13" s="24"/>
      <c r="E13" s="24"/>
      <c r="F13" s="24"/>
    </row>
    <row r="14" spans="1:6" ht="66" x14ac:dyDescent="0.3">
      <c r="A14" s="51" t="s">
        <v>20</v>
      </c>
      <c r="B14" s="50" t="s">
        <v>21</v>
      </c>
      <c r="C14" s="24"/>
      <c r="D14" s="24"/>
      <c r="E14" s="24"/>
      <c r="F14" s="24"/>
    </row>
    <row r="15" spans="1:6" ht="66" x14ac:dyDescent="0.3">
      <c r="A15" s="51" t="s">
        <v>22</v>
      </c>
      <c r="B15" s="50" t="s">
        <v>23</v>
      </c>
      <c r="C15" s="24"/>
      <c r="D15" s="24"/>
      <c r="E15" s="24"/>
      <c r="F15" s="24"/>
    </row>
    <row r="16" spans="1:6" x14ac:dyDescent="0.3">
      <c r="A16" s="51" t="s">
        <v>24</v>
      </c>
      <c r="B16" s="50" t="s">
        <v>25</v>
      </c>
      <c r="C16" s="24"/>
      <c r="D16" s="24"/>
      <c r="E16" s="24"/>
      <c r="F16" s="24"/>
    </row>
    <row r="17" spans="1:6" ht="33" x14ac:dyDescent="0.3">
      <c r="A17" s="51" t="s">
        <v>26</v>
      </c>
      <c r="B17" s="50" t="s">
        <v>27</v>
      </c>
      <c r="C17" s="24"/>
      <c r="D17" s="24"/>
      <c r="E17" s="24"/>
      <c r="F17" s="24"/>
    </row>
    <row r="18" spans="1:6" ht="66" x14ac:dyDescent="0.3">
      <c r="A18" s="51" t="s">
        <v>28</v>
      </c>
      <c r="B18" s="50" t="s">
        <v>29</v>
      </c>
      <c r="C18" s="24"/>
      <c r="D18" s="24"/>
      <c r="E18" s="24"/>
      <c r="F18" s="24"/>
    </row>
    <row r="19" spans="1:6" ht="82.5" x14ac:dyDescent="0.3">
      <c r="A19" s="51" t="s">
        <v>30</v>
      </c>
      <c r="B19" s="50" t="s">
        <v>31</v>
      </c>
      <c r="C19" s="62"/>
      <c r="D19" s="62"/>
      <c r="E19" s="62"/>
      <c r="F19" s="62"/>
    </row>
    <row r="20" spans="1:6" ht="15.75" customHeight="1" x14ac:dyDescent="0.3">
      <c r="A20" s="73" t="s">
        <v>32</v>
      </c>
      <c r="B20" s="74"/>
      <c r="C20" s="24"/>
      <c r="D20" s="24"/>
      <c r="E20" s="24"/>
      <c r="F20" s="24"/>
    </row>
    <row r="21" spans="1:6" ht="15" customHeight="1" x14ac:dyDescent="0.3">
      <c r="A21" s="68" t="s">
        <v>33</v>
      </c>
      <c r="B21" s="69"/>
      <c r="C21" s="24"/>
      <c r="D21" s="24"/>
      <c r="E21" s="24"/>
      <c r="F21" s="24"/>
    </row>
    <row r="22" spans="1:6" x14ac:dyDescent="0.3">
      <c r="A22" s="68" t="s">
        <v>34</v>
      </c>
      <c r="B22" s="69"/>
      <c r="C22" s="24"/>
      <c r="D22" s="24"/>
      <c r="E22" s="24"/>
      <c r="F22" s="24"/>
    </row>
    <row r="23" spans="1:6" x14ac:dyDescent="0.3">
      <c r="A23" s="68" t="s">
        <v>35</v>
      </c>
      <c r="B23" s="69"/>
      <c r="C23" s="24"/>
      <c r="D23" s="24"/>
      <c r="E23" s="24"/>
      <c r="F23" s="24"/>
    </row>
    <row r="24" spans="1:6" x14ac:dyDescent="0.3">
      <c r="A24" s="68" t="s">
        <v>36</v>
      </c>
      <c r="B24" s="69"/>
      <c r="C24" s="24"/>
      <c r="D24" s="24"/>
      <c r="E24" s="24"/>
      <c r="F24" s="24"/>
    </row>
    <row r="25" spans="1:6" x14ac:dyDescent="0.3">
      <c r="A25" s="68" t="s">
        <v>37</v>
      </c>
      <c r="B25" s="69"/>
      <c r="C25" s="24"/>
      <c r="D25" s="24"/>
      <c r="E25" s="24"/>
      <c r="F25" s="24"/>
    </row>
    <row r="26" spans="1:6" x14ac:dyDescent="0.3">
      <c r="A26" s="68" t="s">
        <v>38</v>
      </c>
      <c r="B26" s="69"/>
    </row>
    <row r="27" spans="1:6" x14ac:dyDescent="0.3">
      <c r="A27" s="68" t="s">
        <v>39</v>
      </c>
      <c r="B27" s="69"/>
    </row>
    <row r="28" spans="1:6" x14ac:dyDescent="0.3">
      <c r="A28" s="68" t="s">
        <v>40</v>
      </c>
      <c r="B28" s="69"/>
    </row>
    <row r="29" spans="1:6" x14ac:dyDescent="0.3">
      <c r="A29" s="68" t="s">
        <v>41</v>
      </c>
      <c r="B29" s="69"/>
    </row>
    <row r="30" spans="1:6" x14ac:dyDescent="0.3">
      <c r="A30" s="68" t="s">
        <v>42</v>
      </c>
      <c r="B30" s="69"/>
    </row>
    <row r="31" spans="1:6" x14ac:dyDescent="0.3">
      <c r="A31" s="68" t="s">
        <v>43</v>
      </c>
      <c r="B31" s="69"/>
    </row>
    <row r="32" spans="1:6" x14ac:dyDescent="0.3">
      <c r="A32" s="68" t="s">
        <v>44</v>
      </c>
      <c r="B32" s="69"/>
      <c r="C32" s="24"/>
    </row>
    <row r="33" spans="1:3" x14ac:dyDescent="0.3">
      <c r="A33" s="75" t="s">
        <v>45</v>
      </c>
      <c r="B33" s="76"/>
      <c r="C33" s="24"/>
    </row>
    <row r="34" spans="1:3" x14ac:dyDescent="0.3">
      <c r="A34" s="23"/>
      <c r="B34" s="24"/>
      <c r="C34" s="24"/>
    </row>
    <row r="35" spans="1:3" x14ac:dyDescent="0.3">
      <c r="A35" s="23"/>
      <c r="B35" s="24"/>
      <c r="C35" s="24"/>
    </row>
    <row r="36" spans="1:3" x14ac:dyDescent="0.3">
      <c r="A36" s="24"/>
      <c r="B36" s="24"/>
      <c r="C36" s="24"/>
    </row>
    <row r="37" spans="1:3" x14ac:dyDescent="0.3">
      <c r="A37" s="24"/>
      <c r="B37" s="24"/>
      <c r="C37" s="24"/>
    </row>
    <row r="38" spans="1:3" x14ac:dyDescent="0.3">
      <c r="A38" s="24"/>
      <c r="B38" s="24"/>
      <c r="C38" s="24"/>
    </row>
    <row r="39" spans="1:3" x14ac:dyDescent="0.3">
      <c r="A39" s="24"/>
      <c r="B39" s="24"/>
      <c r="C39" s="24"/>
    </row>
    <row r="40" spans="1:3" x14ac:dyDescent="0.3">
      <c r="A40" s="24"/>
      <c r="B40" s="24"/>
      <c r="C40" s="24"/>
    </row>
    <row r="41" spans="1:3" x14ac:dyDescent="0.3">
      <c r="A41" s="24"/>
      <c r="B41" s="24"/>
      <c r="C41" s="24"/>
    </row>
    <row r="42" spans="1:3" x14ac:dyDescent="0.3">
      <c r="A42" s="24"/>
      <c r="B42" s="24"/>
      <c r="C42" s="24"/>
    </row>
    <row r="43" spans="1:3" x14ac:dyDescent="0.3">
      <c r="A43" s="24"/>
      <c r="B43" s="24"/>
      <c r="C43" s="24"/>
    </row>
    <row r="44" spans="1:3" x14ac:dyDescent="0.3">
      <c r="C44" s="24"/>
    </row>
  </sheetData>
  <mergeCells count="17">
    <mergeCell ref="A29:B29"/>
    <mergeCell ref="A30:B30"/>
    <mergeCell ref="A31:B31"/>
    <mergeCell ref="A32:B32"/>
    <mergeCell ref="A33:B33"/>
    <mergeCell ref="A1:B1"/>
    <mergeCell ref="A2:B2"/>
    <mergeCell ref="A20:B20"/>
    <mergeCell ref="A21:B21"/>
    <mergeCell ref="A22:B22"/>
    <mergeCell ref="A27:B27"/>
    <mergeCell ref="A28:B28"/>
    <mergeCell ref="A23:B23"/>
    <mergeCell ref="A24:B24"/>
    <mergeCell ref="A7:B7"/>
    <mergeCell ref="A25:B25"/>
    <mergeCell ref="A26:B26"/>
  </mergeCells>
  <pageMargins left="0.7" right="0.7" top="0.75" bottom="0.75" header="0.3" footer="0.3"/>
  <pageSetup paperSize="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9"/>
  <sheetViews>
    <sheetView tabSelected="1" workbookViewId="0">
      <selection activeCell="D34" sqref="D34"/>
    </sheetView>
  </sheetViews>
  <sheetFormatPr defaultColWidth="12.625" defaultRowHeight="16.5" x14ac:dyDescent="0.3"/>
  <cols>
    <col min="1" max="1" width="10" style="1" customWidth="1"/>
    <col min="2" max="2" width="21.5" style="13" customWidth="1"/>
    <col min="3" max="3" width="4.75" style="10" customWidth="1"/>
    <col min="4" max="4" width="22" style="13" customWidth="1"/>
    <col min="5" max="5" width="4.875" style="10" customWidth="1"/>
    <col min="6" max="6" width="20.125" style="13" customWidth="1"/>
    <col min="7" max="7" width="4.875" style="10" customWidth="1"/>
    <col min="8" max="8" width="25" style="13" customWidth="1"/>
    <col min="9" max="9" width="4.5" style="10" customWidth="1"/>
    <col min="10" max="10" width="3" style="10" customWidth="1"/>
    <col min="11" max="11" width="30.625" style="1" customWidth="1"/>
    <col min="12" max="12" width="3.25" style="13" customWidth="1"/>
    <col min="13" max="13" width="52.25" style="1" customWidth="1"/>
    <col min="14" max="14" width="10.25" style="1" customWidth="1"/>
    <col min="15" max="16384" width="12.625" style="1"/>
  </cols>
  <sheetData>
    <row r="1" spans="1:21" x14ac:dyDescent="0.3">
      <c r="A1" s="79" t="s">
        <v>46</v>
      </c>
      <c r="B1" s="79"/>
      <c r="C1" s="79"/>
      <c r="D1" s="79"/>
      <c r="E1" s="79"/>
      <c r="F1" s="79"/>
      <c r="G1" s="79"/>
      <c r="H1" s="79"/>
      <c r="I1" s="79"/>
      <c r="K1" s="2" t="s">
        <v>47</v>
      </c>
    </row>
    <row r="2" spans="1:21" ht="18" customHeight="1" x14ac:dyDescent="0.3">
      <c r="A2" s="79"/>
      <c r="B2" s="79"/>
      <c r="C2" s="79"/>
      <c r="D2" s="79"/>
      <c r="E2" s="79"/>
      <c r="F2" s="79"/>
      <c r="G2" s="79"/>
      <c r="H2" s="79"/>
      <c r="I2" s="79"/>
      <c r="K2" s="28" t="s">
        <v>48</v>
      </c>
    </row>
    <row r="3" spans="1:21" ht="18" x14ac:dyDescent="0.3">
      <c r="A3" s="63"/>
      <c r="B3" s="56" t="s">
        <v>49</v>
      </c>
      <c r="C3" s="78"/>
      <c r="D3" s="78"/>
      <c r="E3" s="55" t="s">
        <v>50</v>
      </c>
      <c r="F3" s="57"/>
      <c r="G3" s="55"/>
      <c r="H3" s="63"/>
      <c r="I3" s="63"/>
      <c r="K3" s="29" t="s">
        <v>51</v>
      </c>
    </row>
    <row r="4" spans="1:21" ht="18" x14ac:dyDescent="0.3">
      <c r="A4" s="20"/>
      <c r="B4" s="53" t="s">
        <v>52</v>
      </c>
      <c r="C4" s="53">
        <v>23</v>
      </c>
      <c r="D4" s="53" t="s">
        <v>53</v>
      </c>
      <c r="E4" s="53">
        <f>C13+E13+G13+I13+I20+G20+E20+C20+C27+E27+G27+I27+I34+G34+E34+C34+C41+E41+G41+I41</f>
        <v>150</v>
      </c>
      <c r="F4" s="53" t="s">
        <v>54</v>
      </c>
      <c r="G4" s="54">
        <f>128-C4-E4</f>
        <v>-45</v>
      </c>
      <c r="H4" s="21"/>
      <c r="I4" s="22"/>
      <c r="J4" s="3"/>
      <c r="K4" s="61" t="s">
        <v>55</v>
      </c>
    </row>
    <row r="5" spans="1:21" ht="18" x14ac:dyDescent="0.3">
      <c r="A5" s="20"/>
      <c r="B5" s="48"/>
      <c r="C5" s="48"/>
      <c r="D5" s="48"/>
      <c r="E5" s="48"/>
      <c r="F5" s="48"/>
      <c r="G5" s="48"/>
      <c r="H5" s="21"/>
      <c r="I5" s="22"/>
      <c r="J5" s="3"/>
      <c r="K5" s="52" t="s">
        <v>56</v>
      </c>
    </row>
    <row r="6" spans="1:21" x14ac:dyDescent="0.3">
      <c r="A6" s="3"/>
      <c r="B6" s="14" t="s">
        <v>57</v>
      </c>
      <c r="C6" s="17"/>
      <c r="D6" s="14" t="s">
        <v>58</v>
      </c>
      <c r="E6" s="17"/>
      <c r="F6" s="14" t="s">
        <v>59</v>
      </c>
      <c r="G6" s="17"/>
      <c r="H6" s="14" t="s">
        <v>60</v>
      </c>
      <c r="I6" s="49"/>
      <c r="J6" s="4"/>
    </row>
    <row r="7" spans="1:21" x14ac:dyDescent="0.2">
      <c r="A7" s="5" t="s">
        <v>61</v>
      </c>
      <c r="B7" s="15"/>
      <c r="C7" s="7"/>
      <c r="E7" s="7"/>
      <c r="G7" s="7"/>
      <c r="I7" s="7"/>
      <c r="J7" s="4"/>
      <c r="K7" s="2" t="s">
        <v>62</v>
      </c>
      <c r="L7" s="60" t="s">
        <v>63</v>
      </c>
      <c r="M7" s="2" t="s">
        <v>64</v>
      </c>
      <c r="N7" s="2" t="s">
        <v>65</v>
      </c>
    </row>
    <row r="8" spans="1:21" x14ac:dyDescent="0.3">
      <c r="A8" s="6"/>
      <c r="C8" s="7"/>
      <c r="E8" s="7"/>
      <c r="G8" s="7"/>
      <c r="I8" s="7"/>
      <c r="J8" s="4"/>
      <c r="K8" s="1" t="s">
        <v>66</v>
      </c>
      <c r="L8" s="58">
        <v>1</v>
      </c>
      <c r="M8" s="1" t="s">
        <v>67</v>
      </c>
    </row>
    <row r="9" spans="1:21" ht="13.5" customHeight="1" x14ac:dyDescent="0.3">
      <c r="A9" s="6"/>
      <c r="C9" s="7"/>
      <c r="E9" s="7"/>
      <c r="G9" s="7"/>
      <c r="I9" s="7"/>
      <c r="J9" s="4"/>
      <c r="K9" s="64" t="s">
        <v>68</v>
      </c>
      <c r="L9" s="58">
        <v>1</v>
      </c>
      <c r="M9" s="1" t="s">
        <v>69</v>
      </c>
      <c r="R9" s="26"/>
      <c r="S9" s="26"/>
      <c r="T9" s="25"/>
      <c r="U9" s="25"/>
    </row>
    <row r="10" spans="1:21" x14ac:dyDescent="0.3">
      <c r="A10" s="6"/>
      <c r="C10" s="7"/>
      <c r="E10" s="7"/>
      <c r="G10" s="7"/>
      <c r="I10" s="7"/>
      <c r="J10" s="4"/>
      <c r="K10" s="1" t="s">
        <v>70</v>
      </c>
      <c r="L10" s="58">
        <v>4</v>
      </c>
      <c r="M10" s="1" t="s">
        <v>71</v>
      </c>
      <c r="R10" s="26"/>
      <c r="S10" s="26"/>
      <c r="T10" s="25"/>
      <c r="U10" s="25"/>
    </row>
    <row r="11" spans="1:21" x14ac:dyDescent="0.3">
      <c r="A11" s="6"/>
      <c r="C11" s="7"/>
      <c r="E11" s="7"/>
      <c r="G11" s="7"/>
      <c r="I11" s="7"/>
      <c r="J11" s="4"/>
      <c r="K11" s="1" t="s">
        <v>72</v>
      </c>
      <c r="L11" s="59">
        <v>4</v>
      </c>
      <c r="M11" s="1" t="s">
        <v>73</v>
      </c>
      <c r="N11" s="1" t="s">
        <v>74</v>
      </c>
      <c r="R11" s="26"/>
      <c r="S11" s="26"/>
      <c r="T11" s="25"/>
      <c r="U11" s="25"/>
    </row>
    <row r="12" spans="1:21" ht="14.25" customHeight="1" x14ac:dyDescent="0.3">
      <c r="A12" s="6"/>
      <c r="C12" s="7"/>
      <c r="E12" s="7"/>
      <c r="G12" s="7"/>
      <c r="I12" s="7"/>
      <c r="J12" s="4"/>
      <c r="K12" s="1" t="s">
        <v>75</v>
      </c>
      <c r="L12" s="59">
        <v>4</v>
      </c>
      <c r="M12" s="1" t="s">
        <v>76</v>
      </c>
      <c r="N12" s="1" t="s">
        <v>74</v>
      </c>
      <c r="R12" s="26"/>
      <c r="S12" s="26"/>
      <c r="T12" s="25"/>
      <c r="U12" s="25"/>
    </row>
    <row r="13" spans="1:21" ht="14.25" customHeight="1" thickBot="1" x14ac:dyDescent="0.35">
      <c r="A13" s="35"/>
      <c r="B13" s="36" t="s">
        <v>77</v>
      </c>
      <c r="C13" s="37">
        <f>SUM(C7:C12)</f>
        <v>0</v>
      </c>
      <c r="D13" s="38" t="s">
        <v>77</v>
      </c>
      <c r="E13" s="37">
        <f>SUM(E7:E12)</f>
        <v>0</v>
      </c>
      <c r="F13" s="38" t="s">
        <v>77</v>
      </c>
      <c r="G13" s="37">
        <f>SUM(G7:G12)</f>
        <v>0</v>
      </c>
      <c r="H13" s="38" t="s">
        <v>77</v>
      </c>
      <c r="I13" s="37">
        <f>SUM(I7:I12)</f>
        <v>0</v>
      </c>
      <c r="J13" s="4"/>
      <c r="K13" s="1" t="s">
        <v>78</v>
      </c>
      <c r="L13" s="59">
        <v>4</v>
      </c>
      <c r="M13" s="1" t="s">
        <v>79</v>
      </c>
      <c r="N13" s="1" t="s">
        <v>74</v>
      </c>
      <c r="R13" s="26"/>
      <c r="S13" s="26"/>
      <c r="T13" s="25"/>
      <c r="U13" s="25"/>
    </row>
    <row r="14" spans="1:21" ht="15" customHeight="1" x14ac:dyDescent="0.3">
      <c r="A14" s="39" t="s">
        <v>80</v>
      </c>
      <c r="B14" s="40"/>
      <c r="C14" s="41"/>
      <c r="D14" s="80" t="s">
        <v>134</v>
      </c>
      <c r="E14" s="81"/>
      <c r="F14" s="80" t="s">
        <v>134</v>
      </c>
      <c r="G14" s="42"/>
      <c r="H14" s="40" t="s">
        <v>135</v>
      </c>
      <c r="I14" s="41">
        <v>4</v>
      </c>
      <c r="J14" s="4"/>
      <c r="K14" s="1" t="s">
        <v>81</v>
      </c>
      <c r="L14" s="13">
        <v>4</v>
      </c>
      <c r="M14" s="1" t="s">
        <v>82</v>
      </c>
      <c r="R14" s="26"/>
      <c r="S14" s="26"/>
      <c r="T14" s="25"/>
      <c r="U14" s="25"/>
    </row>
    <row r="15" spans="1:21" ht="14.45" customHeight="1" x14ac:dyDescent="0.3">
      <c r="A15" s="30"/>
      <c r="C15" s="7"/>
      <c r="E15" s="7"/>
      <c r="G15" s="31"/>
      <c r="H15" s="13" t="s">
        <v>136</v>
      </c>
      <c r="I15" s="7">
        <v>4</v>
      </c>
      <c r="J15" s="4"/>
      <c r="K15" s="1" t="s">
        <v>83</v>
      </c>
      <c r="L15" s="59">
        <v>4</v>
      </c>
      <c r="M15" s="1" t="s">
        <v>84</v>
      </c>
    </row>
    <row r="16" spans="1:21" x14ac:dyDescent="0.3">
      <c r="A16" s="30"/>
      <c r="C16" s="7"/>
      <c r="E16" s="7"/>
      <c r="G16" s="31"/>
      <c r="I16" s="7"/>
      <c r="J16" s="4"/>
      <c r="K16" s="1" t="s">
        <v>85</v>
      </c>
      <c r="L16" s="59">
        <v>4</v>
      </c>
      <c r="M16" s="1" t="s">
        <v>86</v>
      </c>
      <c r="N16" s="1" t="s">
        <v>87</v>
      </c>
      <c r="Q16" s="25"/>
    </row>
    <row r="17" spans="1:17" x14ac:dyDescent="0.3">
      <c r="A17" s="30"/>
      <c r="C17" s="7"/>
      <c r="E17" s="7"/>
      <c r="G17" s="31"/>
      <c r="I17" s="7"/>
      <c r="J17" s="4"/>
      <c r="K17" t="s">
        <v>88</v>
      </c>
      <c r="L17" s="13">
        <v>4</v>
      </c>
      <c r="M17" s="1" t="s">
        <v>89</v>
      </c>
      <c r="N17" s="1" t="s">
        <v>90</v>
      </c>
      <c r="Q17" s="25"/>
    </row>
    <row r="18" spans="1:17" x14ac:dyDescent="0.3">
      <c r="A18" s="30"/>
      <c r="C18" s="7"/>
      <c r="E18" s="7"/>
      <c r="G18" s="31"/>
      <c r="I18" s="7"/>
      <c r="J18" s="4"/>
      <c r="K18" t="s">
        <v>91</v>
      </c>
      <c r="L18" s="13">
        <v>4</v>
      </c>
      <c r="M18" s="1" t="s">
        <v>92</v>
      </c>
      <c r="Q18" s="25"/>
    </row>
    <row r="19" spans="1:17" x14ac:dyDescent="0.3">
      <c r="A19" s="30"/>
      <c r="C19" s="7">
        <v>84</v>
      </c>
      <c r="E19" s="7"/>
      <c r="G19" s="31"/>
      <c r="I19" s="7"/>
      <c r="J19" s="4"/>
      <c r="K19" s="64" t="s">
        <v>12</v>
      </c>
      <c r="L19" s="13">
        <v>1</v>
      </c>
      <c r="M19" s="1" t="s">
        <v>93</v>
      </c>
      <c r="Q19" s="25"/>
    </row>
    <row r="20" spans="1:17" ht="17.25" thickBot="1" x14ac:dyDescent="0.35">
      <c r="A20" s="43"/>
      <c r="B20" s="36" t="s">
        <v>77</v>
      </c>
      <c r="C20" s="37">
        <f>SUM(C14:C19)</f>
        <v>84</v>
      </c>
      <c r="D20" s="38" t="s">
        <v>77</v>
      </c>
      <c r="E20" s="37">
        <f>SUM(E14:E19)</f>
        <v>0</v>
      </c>
      <c r="F20" s="38" t="s">
        <v>77</v>
      </c>
      <c r="G20" s="44">
        <f>SUM(G14:G19)</f>
        <v>0</v>
      </c>
      <c r="H20" s="36" t="s">
        <v>77</v>
      </c>
      <c r="I20" s="37">
        <f>SUM(I14:I19)</f>
        <v>8</v>
      </c>
      <c r="J20" s="4"/>
      <c r="K20" s="65" t="s">
        <v>122</v>
      </c>
      <c r="L20" s="13">
        <v>4</v>
      </c>
      <c r="M20" s="1" t="s">
        <v>94</v>
      </c>
      <c r="O20" s="25"/>
      <c r="P20" s="25"/>
      <c r="Q20" s="25"/>
    </row>
    <row r="21" spans="1:17" x14ac:dyDescent="0.3">
      <c r="A21" s="45" t="s">
        <v>95</v>
      </c>
      <c r="B21" s="46" t="s">
        <v>137</v>
      </c>
      <c r="C21" s="41">
        <v>5</v>
      </c>
      <c r="D21" s="80" t="s">
        <v>134</v>
      </c>
      <c r="E21" s="81"/>
      <c r="F21" s="80" t="s">
        <v>134</v>
      </c>
      <c r="G21" s="47"/>
      <c r="H21" s="46" t="s">
        <v>139</v>
      </c>
      <c r="I21" s="41">
        <v>4</v>
      </c>
      <c r="J21" s="4"/>
      <c r="K21" s="1" t="s">
        <v>122</v>
      </c>
      <c r="L21" s="13">
        <v>4</v>
      </c>
      <c r="M21" s="1" t="s">
        <v>94</v>
      </c>
      <c r="O21" s="25"/>
      <c r="P21" s="25"/>
      <c r="Q21" s="25"/>
    </row>
    <row r="22" spans="1:17" x14ac:dyDescent="0.3">
      <c r="A22" s="12"/>
      <c r="B22" s="15" t="s">
        <v>149</v>
      </c>
      <c r="C22" s="7">
        <v>4</v>
      </c>
      <c r="E22" s="7"/>
      <c r="H22" s="15" t="s">
        <v>151</v>
      </c>
      <c r="I22" s="7">
        <v>4</v>
      </c>
      <c r="J22" s="4"/>
      <c r="K22" s="1" t="s">
        <v>122</v>
      </c>
      <c r="L22" s="13">
        <v>4</v>
      </c>
      <c r="M22" s="1" t="s">
        <v>94</v>
      </c>
      <c r="N22" s="25"/>
      <c r="O22" s="25"/>
      <c r="P22" s="25"/>
    </row>
    <row r="23" spans="1:17" x14ac:dyDescent="0.3">
      <c r="A23" s="12"/>
      <c r="B23" s="15" t="s">
        <v>148</v>
      </c>
      <c r="C23" s="7">
        <v>4</v>
      </c>
      <c r="E23" s="7"/>
      <c r="G23" s="18"/>
      <c r="H23" s="15"/>
      <c r="I23" s="7"/>
      <c r="J23" s="4"/>
      <c r="K23" s="1" t="s">
        <v>122</v>
      </c>
      <c r="L23" s="58">
        <v>4</v>
      </c>
      <c r="M23" s="1" t="s">
        <v>94</v>
      </c>
      <c r="N23" s="25"/>
    </row>
    <row r="24" spans="1:17" ht="15" customHeight="1" x14ac:dyDescent="0.3">
      <c r="A24" s="12"/>
      <c r="B24" s="15" t="s">
        <v>150</v>
      </c>
      <c r="C24" s="7">
        <v>4</v>
      </c>
      <c r="E24" s="7"/>
      <c r="G24" s="18"/>
      <c r="H24" s="15"/>
      <c r="I24" s="7"/>
      <c r="J24" s="4"/>
      <c r="K24" s="66" t="s">
        <v>96</v>
      </c>
      <c r="L24" s="59">
        <v>5</v>
      </c>
      <c r="M24" s="1" t="s">
        <v>97</v>
      </c>
      <c r="N24" s="25" t="s">
        <v>98</v>
      </c>
    </row>
    <row r="25" spans="1:17" x14ac:dyDescent="0.3">
      <c r="A25" s="12"/>
      <c r="E25" s="7"/>
      <c r="G25" s="18"/>
      <c r="H25" s="15"/>
      <c r="I25" s="7"/>
      <c r="J25" s="4"/>
      <c r="K25" t="s">
        <v>99</v>
      </c>
      <c r="L25" s="58">
        <v>5</v>
      </c>
      <c r="M25" s="1" t="s">
        <v>97</v>
      </c>
      <c r="N25" s="1" t="s">
        <v>98</v>
      </c>
    </row>
    <row r="26" spans="1:17" x14ac:dyDescent="0.3">
      <c r="A26" s="12"/>
      <c r="B26" s="15"/>
      <c r="C26" s="7"/>
      <c r="E26" s="7"/>
      <c r="G26" s="18"/>
      <c r="H26" s="15"/>
      <c r="I26" s="7"/>
      <c r="J26" s="4"/>
      <c r="K26" s="64" t="s">
        <v>100</v>
      </c>
      <c r="L26" s="58">
        <v>4</v>
      </c>
      <c r="M26" s="1" t="s">
        <v>101</v>
      </c>
      <c r="N26" s="1" t="s">
        <v>102</v>
      </c>
    </row>
    <row r="27" spans="1:17" ht="17.25" thickBot="1" x14ac:dyDescent="0.35">
      <c r="A27" s="43"/>
      <c r="B27" s="36" t="s">
        <v>77</v>
      </c>
      <c r="C27" s="37">
        <f>SUM(C21:C26)</f>
        <v>17</v>
      </c>
      <c r="D27" s="38" t="s">
        <v>77</v>
      </c>
      <c r="E27" s="37">
        <f>SUM(E21:E26)</f>
        <v>0</v>
      </c>
      <c r="F27" s="38" t="s">
        <v>77</v>
      </c>
      <c r="G27" s="37">
        <f>SUM(G21:G26)</f>
        <v>0</v>
      </c>
      <c r="H27" s="38" t="s">
        <v>77</v>
      </c>
      <c r="I27" s="37">
        <f>SUM(I21:I26)</f>
        <v>8</v>
      </c>
      <c r="J27" s="4"/>
      <c r="L27" s="58"/>
    </row>
    <row r="28" spans="1:17" x14ac:dyDescent="0.3">
      <c r="A28" s="32" t="s">
        <v>103</v>
      </c>
      <c r="B28" s="46" t="s">
        <v>138</v>
      </c>
      <c r="C28" s="41">
        <v>1</v>
      </c>
      <c r="D28" s="40" t="s">
        <v>145</v>
      </c>
      <c r="E28" s="47">
        <v>4</v>
      </c>
      <c r="F28" s="46"/>
      <c r="G28" s="41"/>
      <c r="H28" s="40"/>
      <c r="I28" s="41"/>
      <c r="J28" s="4"/>
      <c r="K28" s="64" t="s">
        <v>104</v>
      </c>
      <c r="L28" s="58">
        <v>4</v>
      </c>
      <c r="M28" s="1" t="s">
        <v>105</v>
      </c>
    </row>
    <row r="29" spans="1:17" x14ac:dyDescent="0.3">
      <c r="A29" s="32"/>
      <c r="B29" s="15" t="s">
        <v>140</v>
      </c>
      <c r="C29" s="7">
        <v>4</v>
      </c>
      <c r="D29" s="13" t="s">
        <v>146</v>
      </c>
      <c r="E29" s="10">
        <v>4</v>
      </c>
      <c r="F29" s="15"/>
      <c r="G29" s="7"/>
      <c r="I29" s="7"/>
      <c r="J29" s="4"/>
      <c r="K29" s="1" t="s">
        <v>104</v>
      </c>
      <c r="L29" s="59">
        <v>4</v>
      </c>
      <c r="M29" s="1" t="s">
        <v>105</v>
      </c>
    </row>
    <row r="30" spans="1:17" x14ac:dyDescent="0.3">
      <c r="A30" s="32"/>
      <c r="B30" s="15" t="s">
        <v>141</v>
      </c>
      <c r="C30" s="7">
        <v>4</v>
      </c>
      <c r="D30" s="13" t="s">
        <v>147</v>
      </c>
      <c r="E30" s="10">
        <v>4</v>
      </c>
      <c r="F30" s="15"/>
      <c r="G30" s="7"/>
      <c r="I30" s="7"/>
      <c r="J30" s="4"/>
      <c r="K30" s="1" t="s">
        <v>104</v>
      </c>
      <c r="L30" s="59">
        <v>4</v>
      </c>
      <c r="M30" s="1" t="s">
        <v>105</v>
      </c>
    </row>
    <row r="31" spans="1:17" ht="14.45" customHeight="1" x14ac:dyDescent="0.3">
      <c r="A31" s="32"/>
      <c r="B31" s="15" t="s">
        <v>142</v>
      </c>
      <c r="C31" s="7">
        <v>4</v>
      </c>
      <c r="D31" s="13" t="s">
        <v>144</v>
      </c>
      <c r="E31" s="10">
        <v>4</v>
      </c>
      <c r="F31" s="15"/>
      <c r="G31" s="7"/>
      <c r="I31" s="7"/>
      <c r="J31" s="4"/>
    </row>
    <row r="32" spans="1:17" x14ac:dyDescent="0.3">
      <c r="A32" s="32"/>
      <c r="B32" s="13" t="s">
        <v>143</v>
      </c>
      <c r="C32" s="10">
        <v>4</v>
      </c>
      <c r="F32" s="15"/>
      <c r="G32" s="7"/>
      <c r="I32" s="7"/>
      <c r="J32" s="4"/>
      <c r="K32" s="67" t="s">
        <v>106</v>
      </c>
    </row>
    <row r="33" spans="1:14" x14ac:dyDescent="0.3">
      <c r="A33" s="32"/>
      <c r="B33" s="15"/>
      <c r="C33" s="7"/>
      <c r="D33" s="33" t="s">
        <v>152</v>
      </c>
      <c r="F33" s="15"/>
      <c r="G33" s="7"/>
      <c r="I33" s="7"/>
      <c r="J33" s="4"/>
      <c r="K33" t="s">
        <v>107</v>
      </c>
      <c r="M33" s="1" t="s">
        <v>108</v>
      </c>
      <c r="N33" s="1" t="s">
        <v>123</v>
      </c>
    </row>
    <row r="34" spans="1:14" ht="17.25" thickBot="1" x14ac:dyDescent="0.35">
      <c r="A34" s="34"/>
      <c r="B34" s="36" t="s">
        <v>77</v>
      </c>
      <c r="C34" s="37">
        <f>SUM(C28:C33)</f>
        <v>17</v>
      </c>
      <c r="D34" s="38" t="s">
        <v>77</v>
      </c>
      <c r="E34" s="37">
        <f>SUM(E28:E33)</f>
        <v>16</v>
      </c>
      <c r="F34" s="38" t="s">
        <v>77</v>
      </c>
      <c r="G34" s="44">
        <f>SUM(G28:G33)</f>
        <v>0</v>
      </c>
      <c r="H34" s="36" t="s">
        <v>77</v>
      </c>
      <c r="I34" s="37">
        <f>SUM(I28:I33)</f>
        <v>0</v>
      </c>
      <c r="J34" s="4"/>
      <c r="K34" s="1" t="s">
        <v>109</v>
      </c>
      <c r="L34" s="13">
        <v>4</v>
      </c>
      <c r="M34" s="1" t="s">
        <v>108</v>
      </c>
      <c r="N34" s="1" t="s">
        <v>124</v>
      </c>
    </row>
    <row r="35" spans="1:14" x14ac:dyDescent="0.3">
      <c r="A35" s="11" t="s">
        <v>110</v>
      </c>
      <c r="B35" s="15"/>
      <c r="C35" s="7"/>
      <c r="E35" s="7"/>
      <c r="G35" s="7"/>
      <c r="I35" s="7"/>
      <c r="J35" s="4"/>
      <c r="K35" s="1" t="s">
        <v>111</v>
      </c>
      <c r="L35" s="13">
        <v>4</v>
      </c>
      <c r="M35" s="1" t="s">
        <v>108</v>
      </c>
      <c r="N35" s="1" t="s">
        <v>125</v>
      </c>
    </row>
    <row r="36" spans="1:14" x14ac:dyDescent="0.3">
      <c r="A36" s="12"/>
      <c r="B36" s="15"/>
      <c r="C36" s="7"/>
      <c r="E36" s="7"/>
      <c r="G36" s="7"/>
      <c r="I36" s="7"/>
      <c r="J36" s="4"/>
      <c r="K36" s="1" t="s">
        <v>112</v>
      </c>
      <c r="L36" s="13">
        <v>4</v>
      </c>
      <c r="M36" s="1" t="s">
        <v>108</v>
      </c>
      <c r="N36" s="1" t="s">
        <v>126</v>
      </c>
    </row>
    <row r="37" spans="1:14" x14ac:dyDescent="0.3">
      <c r="A37" s="12"/>
      <c r="B37" s="15"/>
      <c r="C37" s="7"/>
      <c r="E37" s="7"/>
      <c r="G37" s="19"/>
      <c r="I37" s="7"/>
      <c r="J37" s="4"/>
      <c r="K37" s="1" t="s">
        <v>113</v>
      </c>
      <c r="L37" s="13">
        <v>4</v>
      </c>
      <c r="M37" s="1" t="s">
        <v>108</v>
      </c>
      <c r="N37" s="1" t="s">
        <v>127</v>
      </c>
    </row>
    <row r="38" spans="1:14" x14ac:dyDescent="0.3">
      <c r="A38" s="12"/>
      <c r="B38" s="15"/>
      <c r="C38" s="7"/>
      <c r="E38" s="7"/>
      <c r="G38" s="19"/>
      <c r="I38" s="7"/>
      <c r="J38" s="4"/>
      <c r="K38" s="1" t="s">
        <v>114</v>
      </c>
      <c r="L38" s="13">
        <v>4</v>
      </c>
      <c r="M38" s="1" t="s">
        <v>115</v>
      </c>
      <c r="N38" s="1" t="s">
        <v>128</v>
      </c>
    </row>
    <row r="39" spans="1:14" x14ac:dyDescent="0.3">
      <c r="A39" s="12"/>
      <c r="B39" s="15"/>
      <c r="C39" s="7"/>
      <c r="E39" s="7"/>
      <c r="G39" s="19"/>
      <c r="I39" s="7"/>
      <c r="J39" s="4"/>
      <c r="K39" s="27" t="s">
        <v>24</v>
      </c>
      <c r="L39" s="13">
        <v>4</v>
      </c>
      <c r="M39" s="1" t="s">
        <v>116</v>
      </c>
      <c r="N39" s="1" t="s">
        <v>129</v>
      </c>
    </row>
    <row r="40" spans="1:14" x14ac:dyDescent="0.3">
      <c r="A40" s="12"/>
      <c r="B40" s="15"/>
      <c r="C40" s="7"/>
      <c r="E40" s="7"/>
      <c r="G40" s="19"/>
      <c r="I40" s="7"/>
      <c r="J40" s="4"/>
      <c r="K40" s="27" t="s">
        <v>117</v>
      </c>
      <c r="M40" s="1" t="s">
        <v>118</v>
      </c>
      <c r="N40" s="1" t="s">
        <v>130</v>
      </c>
    </row>
    <row r="41" spans="1:14" ht="17.25" thickBot="1" x14ac:dyDescent="0.35">
      <c r="A41" s="43"/>
      <c r="B41" s="36" t="s">
        <v>77</v>
      </c>
      <c r="C41" s="37">
        <f>SUM(C35:C40)</f>
        <v>0</v>
      </c>
      <c r="D41" s="38" t="s">
        <v>77</v>
      </c>
      <c r="E41" s="37">
        <f>SUM(E35:E40)</f>
        <v>0</v>
      </c>
      <c r="F41" s="38" t="s">
        <v>77</v>
      </c>
      <c r="G41" s="37">
        <f>SUM(G35:G40)</f>
        <v>0</v>
      </c>
      <c r="H41" s="38" t="s">
        <v>77</v>
      </c>
      <c r="I41" s="37">
        <f>SUM(I35:I40)</f>
        <v>0</v>
      </c>
      <c r="J41" s="4"/>
      <c r="K41" s="2"/>
    </row>
    <row r="42" spans="1:14" x14ac:dyDescent="0.3">
      <c r="A42" s="8" t="s">
        <v>119</v>
      </c>
      <c r="B42" s="16"/>
      <c r="C42" s="18"/>
      <c r="D42" s="16"/>
      <c r="E42" s="18"/>
      <c r="F42" s="16"/>
      <c r="G42" s="18"/>
      <c r="H42" s="16"/>
      <c r="I42" s="18"/>
      <c r="J42" s="9"/>
      <c r="K42" s="67" t="s">
        <v>120</v>
      </c>
    </row>
    <row r="43" spans="1:14" x14ac:dyDescent="0.3">
      <c r="J43" s="9"/>
    </row>
    <row r="44" spans="1:14" ht="15" customHeight="1" x14ac:dyDescent="0.3">
      <c r="A44" s="77" t="s">
        <v>121</v>
      </c>
      <c r="B44" s="77"/>
      <c r="C44" s="77"/>
      <c r="D44" s="77"/>
      <c r="E44" s="77"/>
      <c r="F44" s="77"/>
      <c r="G44" s="77"/>
      <c r="H44" s="77"/>
      <c r="I44" s="77"/>
      <c r="J44" s="77"/>
    </row>
    <row r="45" spans="1:14" x14ac:dyDescent="0.3">
      <c r="A45" s="77"/>
      <c r="B45" s="77"/>
      <c r="C45" s="77"/>
      <c r="D45" s="77"/>
      <c r="E45" s="77"/>
      <c r="F45" s="77"/>
      <c r="G45" s="77"/>
      <c r="H45" s="77"/>
      <c r="I45" s="77"/>
      <c r="J45" s="77"/>
    </row>
    <row r="46" spans="1:14" x14ac:dyDescent="0.3">
      <c r="A46" s="77"/>
      <c r="B46" s="77"/>
      <c r="C46" s="77"/>
      <c r="D46" s="77"/>
      <c r="E46" s="77"/>
      <c r="F46" s="77"/>
      <c r="G46" s="77"/>
      <c r="H46" s="77"/>
      <c r="I46" s="77"/>
      <c r="J46" s="77"/>
      <c r="M46" s="2"/>
    </row>
    <row r="47" spans="1:14" x14ac:dyDescent="0.3">
      <c r="A47" s="77"/>
      <c r="B47" s="77"/>
      <c r="C47" s="77"/>
      <c r="D47" s="77"/>
      <c r="E47" s="77"/>
      <c r="F47" s="77"/>
      <c r="G47" s="77"/>
      <c r="H47" s="77"/>
      <c r="I47" s="77"/>
      <c r="J47" s="77"/>
    </row>
    <row r="48" spans="1:14" x14ac:dyDescent="0.3">
      <c r="A48" s="77"/>
      <c r="B48" s="77"/>
      <c r="C48" s="77"/>
      <c r="D48" s="77"/>
      <c r="E48" s="77"/>
      <c r="F48" s="77"/>
      <c r="G48" s="77"/>
      <c r="H48" s="77"/>
      <c r="I48" s="77"/>
      <c r="J48" s="77"/>
    </row>
    <row r="49" spans="1:10" x14ac:dyDescent="0.3">
      <c r="A49" s="77"/>
      <c r="B49" s="77"/>
      <c r="C49" s="77"/>
      <c r="D49" s="77"/>
      <c r="E49" s="77"/>
      <c r="F49" s="77"/>
      <c r="G49" s="77"/>
      <c r="H49" s="77"/>
      <c r="I49" s="77"/>
      <c r="J49" s="77"/>
    </row>
    <row r="50" spans="1:10" x14ac:dyDescent="0.3">
      <c r="A50" s="77"/>
      <c r="B50" s="77"/>
      <c r="C50" s="77"/>
      <c r="D50" s="77"/>
      <c r="E50" s="77"/>
      <c r="F50" s="77"/>
      <c r="G50" s="77"/>
      <c r="H50" s="77"/>
      <c r="I50" s="77"/>
      <c r="J50" s="77"/>
    </row>
    <row r="51" spans="1:10" x14ac:dyDescent="0.3">
      <c r="A51" s="77"/>
      <c r="B51" s="77"/>
      <c r="C51" s="77"/>
      <c r="D51" s="77"/>
      <c r="E51" s="77"/>
      <c r="F51" s="77"/>
      <c r="G51" s="77"/>
      <c r="H51" s="77"/>
      <c r="I51" s="77"/>
      <c r="J51" s="77"/>
    </row>
    <row r="52" spans="1:10" x14ac:dyDescent="0.3">
      <c r="A52" s="77"/>
      <c r="B52" s="77"/>
      <c r="C52" s="77"/>
      <c r="D52" s="77"/>
      <c r="E52" s="77"/>
      <c r="F52" s="77"/>
      <c r="G52" s="77"/>
      <c r="H52" s="77"/>
      <c r="I52" s="77"/>
      <c r="J52" s="77"/>
    </row>
    <row r="53" spans="1:10" x14ac:dyDescent="0.3">
      <c r="A53" s="77"/>
      <c r="B53" s="77"/>
      <c r="C53" s="77"/>
      <c r="D53" s="77"/>
      <c r="E53" s="77"/>
      <c r="F53" s="77"/>
      <c r="G53" s="77"/>
      <c r="H53" s="77"/>
      <c r="I53" s="77"/>
      <c r="J53" s="77"/>
    </row>
    <row r="54" spans="1:10" x14ac:dyDescent="0.3">
      <c r="A54" s="77"/>
      <c r="B54" s="77"/>
      <c r="C54" s="77"/>
      <c r="D54" s="77"/>
      <c r="E54" s="77"/>
      <c r="F54" s="77"/>
      <c r="G54" s="77"/>
      <c r="H54" s="77"/>
      <c r="I54" s="77"/>
      <c r="J54" s="77"/>
    </row>
    <row r="55" spans="1:10" x14ac:dyDescent="0.3">
      <c r="A55" s="77"/>
      <c r="B55" s="77"/>
      <c r="C55" s="77"/>
      <c r="D55" s="77"/>
      <c r="E55" s="77"/>
      <c r="F55" s="77"/>
      <c r="G55" s="77"/>
      <c r="H55" s="77"/>
      <c r="I55" s="77"/>
      <c r="J55" s="77"/>
    </row>
    <row r="56" spans="1:10" x14ac:dyDescent="0.3">
      <c r="A56" s="77"/>
      <c r="B56" s="77"/>
      <c r="C56" s="77"/>
      <c r="D56" s="77"/>
      <c r="E56" s="77"/>
      <c r="F56" s="77"/>
      <c r="G56" s="77"/>
      <c r="H56" s="77"/>
      <c r="I56" s="77"/>
      <c r="J56" s="77"/>
    </row>
    <row r="57" spans="1:10" x14ac:dyDescent="0.3">
      <c r="A57" s="77"/>
      <c r="B57" s="77"/>
      <c r="C57" s="77"/>
      <c r="D57" s="77"/>
      <c r="E57" s="77"/>
      <c r="F57" s="77"/>
      <c r="G57" s="77"/>
      <c r="H57" s="77"/>
      <c r="I57" s="77"/>
      <c r="J57" s="77"/>
    </row>
    <row r="58" spans="1:10" x14ac:dyDescent="0.3">
      <c r="A58" s="77"/>
      <c r="B58" s="77"/>
      <c r="C58" s="77"/>
      <c r="D58" s="77"/>
      <c r="E58" s="77"/>
      <c r="F58" s="77"/>
      <c r="G58" s="77"/>
      <c r="H58" s="77"/>
      <c r="I58" s="77"/>
      <c r="J58" s="77"/>
    </row>
    <row r="59" spans="1:10" x14ac:dyDescent="0.3">
      <c r="A59" s="77"/>
      <c r="B59" s="77"/>
      <c r="C59" s="77"/>
      <c r="D59" s="77"/>
      <c r="E59" s="77"/>
      <c r="F59" s="77"/>
      <c r="G59" s="77"/>
      <c r="H59" s="77"/>
      <c r="I59" s="77"/>
      <c r="J59" s="77"/>
    </row>
  </sheetData>
  <mergeCells count="3">
    <mergeCell ref="A44:J59"/>
    <mergeCell ref="C3:D3"/>
    <mergeCell ref="A1:I2"/>
  </mergeCells>
  <hyperlinks>
    <hyperlink ref="K42" location="'Academic Planning Guide'!A18" display="General Electives - if needed" xr:uid="{00000000-0004-0000-0100-000000000000}"/>
    <hyperlink ref="K32" location="'Academic Planning Guide'!A17" display="NUPath not met by Major:" xr:uid="{00000000-0004-0000-0100-000001000000}"/>
    <hyperlink ref="K40" location="'Academic Planning Guide'!A15" display="Integration Experience - EX" xr:uid="{00000000-0004-0000-0100-000002000000}"/>
    <hyperlink ref="K39" location="'Academic Planning Guide'!A16" display="Advanced Writing in the Disciplines" xr:uid="{00000000-0004-0000-0100-000003000000}"/>
    <hyperlink ref="K9" location="'Academic Planning Guide'!B9" display="EESC 2000" xr:uid="{454B2AFA-1ED0-4CFC-87F6-2B6DB4DD809B}"/>
    <hyperlink ref="K19" location="'Academic Planning Guide'!B10" display="MATH 3000" xr:uid="{8B62D839-2953-4D51-92FC-43DA699EDC6A}"/>
    <hyperlink ref="K20" location="'Academic Planning Guide'!A11" display="MATH ELECTIVE" xr:uid="{1D1FA1E3-6E27-4727-A51A-7D15C4395698}"/>
    <hyperlink ref="K24" location="'Academic Planning Guide'!A12" display="REQUIRED PHYSICS 1" xr:uid="{8828B769-AC4B-4950-8960-EBDBDA1FDE9C}"/>
    <hyperlink ref="K26" location="'Academic Planning Guide'!A13" display="CAPSTONE" xr:uid="{845FCE50-E915-4B83-A008-B64866DBBF68}"/>
    <hyperlink ref="K28" location="'Academic Planning Guide'!A14" display="UPPER DIVISION ELECTIVE" xr:uid="{F1C2C7F0-F9F8-40E1-979D-1AF6B5452B6B}"/>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3E27E0FDA92948A564982B53198035" ma:contentTypeVersion="21" ma:contentTypeDescription="Create a new document." ma:contentTypeScope="" ma:versionID="28b6f3425d34159d5f1b1628b8a0c114">
  <xsd:schema xmlns:xsd="http://www.w3.org/2001/XMLSchema" xmlns:xs="http://www.w3.org/2001/XMLSchema" xmlns:p="http://schemas.microsoft.com/office/2006/metadata/properties" xmlns:ns1="http://schemas.microsoft.com/sharepoint/v3" xmlns:ns2="eb95acb3-0ac2-451a-98d2-88f8c49a1f20" xmlns:ns3="73bebec8-3ef2-4162-b91c-ca091c7918f4" xmlns:ns4="e9952153-5aa5-42e8-8300-ccc6398e6c31" targetNamespace="http://schemas.microsoft.com/office/2006/metadata/properties" ma:root="true" ma:fieldsID="e0d235428470f982a23de51892694a95" ns1:_="" ns2:_="" ns3:_="" ns4:_="">
    <xsd:import namespace="http://schemas.microsoft.com/sharepoint/v3"/>
    <xsd:import namespace="eb95acb3-0ac2-451a-98d2-88f8c49a1f20"/>
    <xsd:import namespace="73bebec8-3ef2-4162-b91c-ca091c7918f4"/>
    <xsd:import namespace="e9952153-5aa5-42e8-8300-ccc6398e6c3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Foldercontentsdescription"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95acb3-0ac2-451a-98d2-88f8c49a1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Foldercontentsdescription" ma:index="21" nillable="true" ma:displayName="Folder contents description " ma:format="Dropdown" ma:internalName="Foldercontentsdescription">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indexed="true" ma:internalName="MediaServiceLocation" ma:readOnly="true">
      <xsd:simpleType>
        <xsd:restriction base="dms:Text"/>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bebec8-3ef2-4162-b91c-ca091c7918f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9952153-5aa5-42e8-8300-ccc6398e6c31"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04bb2f66-76b8-4244-9762-abac0209b74b}" ma:internalName="TaxCatchAll" ma:showField="CatchAllData" ma:web="73bebec8-3ef2-4162-b91c-ca091c7918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e9952153-5aa5-42e8-8300-ccc6398e6c31" xsi:nil="true"/>
    <lcf76f155ced4ddcb4097134ff3c332f xmlns="eb95acb3-0ac2-451a-98d2-88f8c49a1f20">
      <Terms xmlns="http://schemas.microsoft.com/office/infopath/2007/PartnerControls"/>
    </lcf76f155ced4ddcb4097134ff3c332f>
    <Foldercontentsdescription xmlns="eb95acb3-0ac2-451a-98d2-88f8c49a1f2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00C740-CD4B-4BC7-923B-F7CB81A01E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b95acb3-0ac2-451a-98d2-88f8c49a1f20"/>
    <ds:schemaRef ds:uri="73bebec8-3ef2-4162-b91c-ca091c7918f4"/>
    <ds:schemaRef ds:uri="e9952153-5aa5-42e8-8300-ccc6398e6c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F7F6AA-A47D-416D-A1B5-F03B4FB0F8E5}">
  <ds:schemaRefs>
    <ds:schemaRef ds:uri="http://purl.org/dc/terms/"/>
    <ds:schemaRef ds:uri="http://schemas.microsoft.com/office/2006/documentManagement/types"/>
    <ds:schemaRef ds:uri="e9952153-5aa5-42e8-8300-ccc6398e6c31"/>
    <ds:schemaRef ds:uri="http://purl.org/dc/dcmitype/"/>
    <ds:schemaRef ds:uri="http://schemas.microsoft.com/sharepoint/v3"/>
    <ds:schemaRef ds:uri="73bebec8-3ef2-4162-b91c-ca091c7918f4"/>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eb95acb3-0ac2-451a-98d2-88f8c49a1f20"/>
    <ds:schemaRef ds:uri="http://www.w3.org/XML/1998/namespace"/>
  </ds:schemaRefs>
</ds:datastoreItem>
</file>

<file path=customXml/itemProps3.xml><?xml version="1.0" encoding="utf-8"?>
<ds:datastoreItem xmlns:ds="http://schemas.openxmlformats.org/officeDocument/2006/customXml" ds:itemID="{2A5B9777-99E3-471B-9B29-17A5752B80D4}">
  <ds:schemaRefs>
    <ds:schemaRef ds:uri="http://schemas.microsoft.com/sharepoint/v3/contenttype/forms"/>
  </ds:schemaRefs>
</ds:datastoreItem>
</file>

<file path=docMetadata/LabelInfo.xml><?xml version="1.0" encoding="utf-8"?>
<clbl:labelList xmlns:clbl="http://schemas.microsoft.com/office/2020/mipLabelMetadata">
  <clbl:label id="{7893ce20-a697-4fd6-a4da-14011f6a471d}" enabled="1" method="Standard" siteId="{a8eec281-aaa3-4dae-ac9b-9a398b9215e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Academic Planning Guide</vt:lpstr>
      <vt:lpstr>MATH (BS) Template 2024</vt:lpstr>
    </vt:vector>
  </TitlesOfParts>
  <Manager/>
  <Company>Northeastern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Richardson, Nathan</dc:creator>
  <cp:keywords/>
  <dc:description/>
  <cp:lastModifiedBy>Richardson, Nathan</cp:lastModifiedBy>
  <cp:revision/>
  <dcterms:created xsi:type="dcterms:W3CDTF">2016-06-17T17:21:22Z</dcterms:created>
  <dcterms:modified xsi:type="dcterms:W3CDTF">2025-07-11T15:31:05Z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0x010100E23E27E0FDA92948A564982B53198035</vt:lpwstr>
  </property>
  <property fmtid="{D5CDD505-2E9C-101B-9397-08002B2CF9AE}" pid="3" name="MediaServiceImageTags">
    <vt:lpwstr/>
  </property>
</Properties>
</file>